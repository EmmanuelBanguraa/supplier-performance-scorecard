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elbangura/Downloads/"/>
    </mc:Choice>
  </mc:AlternateContent>
  <xr:revisionPtr revIDLastSave="0" documentId="13_ncr:9_{6DAA3356-9A24-3B4C-A4E7-BFE0EDC27E4C}" xr6:coauthVersionLast="47" xr6:coauthVersionMax="47" xr10:uidLastSave="{00000000-0000-0000-0000-000000000000}"/>
  <bookViews>
    <workbookView xWindow="29400" yWindow="0" windowWidth="38400" windowHeight="21600" xr2:uid="{0BAA7B0F-A01D-1F47-9949-2A507DA1D153}"/>
  </bookViews>
  <sheets>
    <sheet name="Pivots" sheetId="3" r:id="rId1"/>
    <sheet name="suppliers_scored" sheetId="1" r:id="rId2"/>
    <sheet name="Lookup" sheetId="2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O9" i="1" s="1"/>
  <c r="N10" i="1"/>
  <c r="N11" i="1"/>
  <c r="N12" i="1"/>
  <c r="N13" i="1"/>
  <c r="N14" i="1"/>
  <c r="N15" i="1"/>
  <c r="O15" i="1" s="1"/>
  <c r="P15" i="1" s="1" a="1"/>
  <c r="P15" i="1" s="1"/>
  <c r="N16" i="1"/>
  <c r="N17" i="1"/>
  <c r="N18" i="1"/>
  <c r="N19" i="1"/>
  <c r="N20" i="1"/>
  <c r="N21" i="1"/>
  <c r="N22" i="1"/>
  <c r="N23" i="1"/>
  <c r="N24" i="1"/>
  <c r="N25" i="1"/>
  <c r="O25" i="1" s="1"/>
  <c r="P25" i="1" s="1" a="1"/>
  <c r="P25" i="1" s="1"/>
  <c r="N26" i="1"/>
  <c r="N27" i="1"/>
  <c r="N28" i="1"/>
  <c r="N29" i="1"/>
  <c r="N30" i="1"/>
  <c r="N31" i="1"/>
  <c r="O31" i="1" s="1"/>
  <c r="P31" i="1" s="1" a="1"/>
  <c r="P31" i="1" s="1"/>
  <c r="N32" i="1"/>
  <c r="N33" i="1"/>
  <c r="N34" i="1"/>
  <c r="N35" i="1"/>
  <c r="N36" i="1"/>
  <c r="N37" i="1"/>
  <c r="N38" i="1"/>
  <c r="N39" i="1"/>
  <c r="N40" i="1"/>
  <c r="N41" i="1"/>
  <c r="O41" i="1" s="1"/>
  <c r="P41" i="1" s="1" a="1"/>
  <c r="P41" i="1" s="1"/>
  <c r="N2" i="1"/>
  <c r="M2" i="1"/>
  <c r="L3" i="1"/>
  <c r="M3" i="1"/>
  <c r="O3" i="1"/>
  <c r="L4" i="1"/>
  <c r="O4" i="1" s="1"/>
  <c r="P4" i="1" s="1" a="1"/>
  <c r="P4" i="1" s="1"/>
  <c r="M4" i="1"/>
  <c r="L5" i="1"/>
  <c r="M5" i="1"/>
  <c r="O5" i="1"/>
  <c r="L6" i="1"/>
  <c r="M6" i="1"/>
  <c r="L7" i="1"/>
  <c r="M7" i="1"/>
  <c r="O7" i="1"/>
  <c r="P7" i="1" s="1" a="1"/>
  <c r="P7" i="1" s="1"/>
  <c r="L8" i="1"/>
  <c r="O8" i="1" s="1"/>
  <c r="P8" i="1" s="1" a="1"/>
  <c r="P8" i="1" s="1"/>
  <c r="M8" i="1"/>
  <c r="L9" i="1"/>
  <c r="M9" i="1"/>
  <c r="L10" i="1"/>
  <c r="M10" i="1"/>
  <c r="L11" i="1"/>
  <c r="M11" i="1"/>
  <c r="O11" i="1"/>
  <c r="P11" i="1" s="1" a="1"/>
  <c r="P11" i="1" s="1"/>
  <c r="L12" i="1"/>
  <c r="O12" i="1" s="1"/>
  <c r="P12" i="1" s="1" a="1"/>
  <c r="P12" i="1" s="1"/>
  <c r="M12" i="1"/>
  <c r="L13" i="1"/>
  <c r="M13" i="1"/>
  <c r="O13" i="1"/>
  <c r="P13" i="1" s="1" a="1"/>
  <c r="P13" i="1" s="1"/>
  <c r="L14" i="1"/>
  <c r="O14" i="1" s="1"/>
  <c r="P14" i="1" s="1" a="1"/>
  <c r="P14" i="1" s="1"/>
  <c r="M14" i="1"/>
  <c r="L15" i="1"/>
  <c r="M15" i="1"/>
  <c r="L16" i="1"/>
  <c r="M16" i="1"/>
  <c r="L17" i="1"/>
  <c r="M17" i="1"/>
  <c r="O17" i="1"/>
  <c r="P17" i="1" s="1" a="1"/>
  <c r="P17" i="1" s="1"/>
  <c r="L18" i="1"/>
  <c r="O18" i="1" s="1"/>
  <c r="P18" i="1" s="1" a="1"/>
  <c r="P18" i="1" s="1"/>
  <c r="M18" i="1"/>
  <c r="L19" i="1"/>
  <c r="M19" i="1"/>
  <c r="O19" i="1"/>
  <c r="L20" i="1"/>
  <c r="O20" i="1" s="1"/>
  <c r="P20" i="1" s="1" a="1"/>
  <c r="P20" i="1" s="1"/>
  <c r="M20" i="1"/>
  <c r="L21" i="1"/>
  <c r="M21" i="1"/>
  <c r="O21" i="1"/>
  <c r="L22" i="1"/>
  <c r="M22" i="1"/>
  <c r="L23" i="1"/>
  <c r="M23" i="1"/>
  <c r="O23" i="1"/>
  <c r="P23" i="1" s="1" a="1"/>
  <c r="P23" i="1" s="1"/>
  <c r="L24" i="1"/>
  <c r="O24" i="1" s="1"/>
  <c r="P24" i="1" s="1" a="1"/>
  <c r="P24" i="1" s="1"/>
  <c r="M24" i="1"/>
  <c r="L25" i="1"/>
  <c r="M25" i="1"/>
  <c r="L26" i="1"/>
  <c r="M26" i="1"/>
  <c r="L27" i="1"/>
  <c r="M27" i="1"/>
  <c r="O27" i="1"/>
  <c r="P27" i="1" s="1" a="1"/>
  <c r="P27" i="1" s="1"/>
  <c r="L28" i="1"/>
  <c r="O28" i="1" s="1"/>
  <c r="P28" i="1" s="1" a="1"/>
  <c r="P28" i="1" s="1"/>
  <c r="M28" i="1"/>
  <c r="L29" i="1"/>
  <c r="M29" i="1"/>
  <c r="O29" i="1"/>
  <c r="P29" i="1" s="1" a="1"/>
  <c r="P29" i="1" s="1"/>
  <c r="L30" i="1"/>
  <c r="O30" i="1" s="1"/>
  <c r="P30" i="1" s="1" a="1"/>
  <c r="P30" i="1" s="1"/>
  <c r="M30" i="1"/>
  <c r="L31" i="1"/>
  <c r="M31" i="1"/>
  <c r="L32" i="1"/>
  <c r="M32" i="1"/>
  <c r="L33" i="1"/>
  <c r="M33" i="1"/>
  <c r="O33" i="1"/>
  <c r="L34" i="1"/>
  <c r="O34" i="1" s="1"/>
  <c r="P34" i="1" s="1" a="1"/>
  <c r="P34" i="1" s="1"/>
  <c r="M34" i="1"/>
  <c r="L35" i="1"/>
  <c r="M35" i="1"/>
  <c r="O35" i="1"/>
  <c r="L36" i="1"/>
  <c r="O36" i="1" s="1"/>
  <c r="P36" i="1" s="1" a="1"/>
  <c r="P36" i="1" s="1"/>
  <c r="M36" i="1"/>
  <c r="L37" i="1"/>
  <c r="M37" i="1"/>
  <c r="O37" i="1"/>
  <c r="P37" i="1" s="1" a="1"/>
  <c r="P37" i="1" s="1"/>
  <c r="L38" i="1"/>
  <c r="M38" i="1"/>
  <c r="L39" i="1"/>
  <c r="M39" i="1"/>
  <c r="O39" i="1"/>
  <c r="P39" i="1" s="1" a="1"/>
  <c r="P39" i="1" s="1"/>
  <c r="L40" i="1"/>
  <c r="O40" i="1" s="1"/>
  <c r="P40" i="1" s="1" a="1"/>
  <c r="P40" i="1" s="1"/>
  <c r="M40" i="1"/>
  <c r="L41" i="1"/>
  <c r="M41" i="1"/>
  <c r="B10" i="2"/>
  <c r="B9" i="2"/>
  <c r="B8" i="2"/>
  <c r="B7" i="2"/>
  <c r="B6" i="2"/>
  <c r="B5" i="2"/>
  <c r="B4" i="2"/>
  <c r="P3" i="1" a="1"/>
  <c r="P3" i="1" s="1"/>
  <c r="P5" i="1" a="1"/>
  <c r="P5" i="1"/>
  <c r="P19" i="1" a="1"/>
  <c r="P19" i="1" s="1"/>
  <c r="P21" i="1" a="1"/>
  <c r="P21" i="1"/>
  <c r="P33" i="1" a="1"/>
  <c r="P33" i="1" s="1"/>
  <c r="P35" i="1" a="1"/>
  <c r="P35" i="1" s="1"/>
  <c r="L2" i="1"/>
  <c r="P9" i="1" l="1" a="1"/>
  <c r="P9" i="1" s="1"/>
  <c r="B12" i="2" s="1"/>
  <c r="B11" i="2"/>
  <c r="O26" i="1"/>
  <c r="P26" i="1" s="1" a="1"/>
  <c r="P26" i="1" s="1"/>
  <c r="O10" i="1"/>
  <c r="P10" i="1" s="1" a="1"/>
  <c r="P10" i="1" s="1"/>
  <c r="O32" i="1"/>
  <c r="P32" i="1" s="1" a="1"/>
  <c r="P32" i="1" s="1"/>
  <c r="O16" i="1"/>
  <c r="P16" i="1" s="1" a="1"/>
  <c r="P16" i="1" s="1"/>
  <c r="O38" i="1"/>
  <c r="P38" i="1" s="1" a="1"/>
  <c r="P38" i="1" s="1"/>
  <c r="O22" i="1"/>
  <c r="P22" i="1" s="1" a="1"/>
  <c r="P22" i="1" s="1"/>
  <c r="O6" i="1"/>
  <c r="P6" i="1" s="1" a="1"/>
  <c r="P6" i="1" s="1"/>
  <c r="O2" i="1"/>
  <c r="P2" i="1" s="1" a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<sst xmlns="http://schemas.openxmlformats.org/spreadsheetml/2006/main" count="213" uniqueCount="94">
  <si>
    <t>supplier_id</t>
  </si>
  <si>
    <t>name</t>
  </si>
  <si>
    <t>country</t>
  </si>
  <si>
    <t>industry</t>
  </si>
  <si>
    <t>risk_score</t>
  </si>
  <si>
    <t>is_foreign_owned</t>
  </si>
  <si>
    <t>single_source</t>
  </si>
  <si>
    <t>foci_risk</t>
  </si>
  <si>
    <t>Falcon Aerospace 1</t>
  </si>
  <si>
    <t>Japan</t>
  </si>
  <si>
    <t>Circuit Boards</t>
  </si>
  <si>
    <t>MEDIUM RISK</t>
  </si>
  <si>
    <t>Ironclad Supply 2</t>
  </si>
  <si>
    <t>India</t>
  </si>
  <si>
    <t>Electronics</t>
  </si>
  <si>
    <t>LOW RISK</t>
  </si>
  <si>
    <t>Acme Defense 3</t>
  </si>
  <si>
    <t>South Korea</t>
  </si>
  <si>
    <t>HIGH RISK</t>
  </si>
  <si>
    <t>Titan Manufacturing 4</t>
  </si>
  <si>
    <t>Mexico</t>
  </si>
  <si>
    <t>Northstar Compents 5</t>
  </si>
  <si>
    <t>China</t>
  </si>
  <si>
    <t>Vanguard Industries 6</t>
  </si>
  <si>
    <t>Sentinel Systems 7</t>
  </si>
  <si>
    <t>Software</t>
  </si>
  <si>
    <t>Titan Manufacturing 8</t>
  </si>
  <si>
    <t>USA</t>
  </si>
  <si>
    <t>Acme Defense 9</t>
  </si>
  <si>
    <t>Ironclad Supply 10</t>
  </si>
  <si>
    <t>Northstar Compents 11</t>
  </si>
  <si>
    <t>Global Parts 12</t>
  </si>
  <si>
    <t>Optics</t>
  </si>
  <si>
    <t>Titan Manufacturing 13</t>
  </si>
  <si>
    <t>Raw Materials</t>
  </si>
  <si>
    <t>Ironclad Supply 14</t>
  </si>
  <si>
    <t>Taiwan</t>
  </si>
  <si>
    <t>Machined Parts</t>
  </si>
  <si>
    <t>Ironclad Supply 15</t>
  </si>
  <si>
    <t>Ironclad Supply 16</t>
  </si>
  <si>
    <t>Apex Electronics 17</t>
  </si>
  <si>
    <t>Titan Manufacturing 18</t>
  </si>
  <si>
    <t>Titan Manufacturing 19</t>
  </si>
  <si>
    <t>Germany</t>
  </si>
  <si>
    <t>Titan Manufacturing 20</t>
  </si>
  <si>
    <t>Apex Electronics 21</t>
  </si>
  <si>
    <t>Northstar Compents 22</t>
  </si>
  <si>
    <t>Ironclad Supply 23</t>
  </si>
  <si>
    <t>Sentinel Systems 24</t>
  </si>
  <si>
    <t>Acme Defense 25</t>
  </si>
  <si>
    <t>Ironclad Supply 26</t>
  </si>
  <si>
    <t>Northstar Compents 27</t>
  </si>
  <si>
    <t>Vanguard Industries 28</t>
  </si>
  <si>
    <t>Titan Manufacturing 29</t>
  </si>
  <si>
    <t>Summit Machining 30</t>
  </si>
  <si>
    <t>Falcon Aerospace 31</t>
  </si>
  <si>
    <t>Vanguard Industries 32</t>
  </si>
  <si>
    <t>Titan Manufacturing 33</t>
  </si>
  <si>
    <t>Summit Machining 34</t>
  </si>
  <si>
    <t>Global Parts 35</t>
  </si>
  <si>
    <t>Titan Manufacturing 36</t>
  </si>
  <si>
    <t>Global Parts 37</t>
  </si>
  <si>
    <t>Titan Manufacturing 38</t>
  </si>
  <si>
    <t>Sentinel Systems 39</t>
  </si>
  <si>
    <t>Titan Manufacturing 40</t>
  </si>
  <si>
    <t>on_time_delivery_pct</t>
  </si>
  <si>
    <t>defect_rate_pct</t>
  </si>
  <si>
    <t>avg_response_days</t>
  </si>
  <si>
    <t>delivery_score</t>
  </si>
  <si>
    <t>quality_score</t>
  </si>
  <si>
    <t>response_score</t>
  </si>
  <si>
    <t>composite_score</t>
  </si>
  <si>
    <t>grade</t>
  </si>
  <si>
    <t>Enter Supplier ID:</t>
  </si>
  <si>
    <t>Supplier Name</t>
  </si>
  <si>
    <t>Country</t>
  </si>
  <si>
    <t>Industry</t>
  </si>
  <si>
    <t>FOCI Risk</t>
  </si>
  <si>
    <t>On-Time Delivery %</t>
  </si>
  <si>
    <t>Defect Rate %</t>
  </si>
  <si>
    <t>Avg Response Days</t>
  </si>
  <si>
    <t>Composite Score</t>
  </si>
  <si>
    <t>Grade</t>
  </si>
  <si>
    <t>Grand Total</t>
  </si>
  <si>
    <t>Average of composite_score</t>
  </si>
  <si>
    <t>Count of supplier_id</t>
  </si>
  <si>
    <t>A</t>
  </si>
  <si>
    <t>B</t>
  </si>
  <si>
    <t>C</t>
  </si>
  <si>
    <t>D</t>
  </si>
  <si>
    <t>F</t>
  </si>
  <si>
    <t>Column Labels</t>
  </si>
  <si>
    <t>Average Performance Score by Country</t>
  </si>
  <si>
    <t>Grade Distribution by FOCI Risk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</si>
</sst>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2"/>
      <name val="Aptos Narrow"/>
      <scheme val="minor"/>
    </font>
    <font>
      <sz val="12"/>
      <color theme="4" tint="0.7999816888943144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F6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0" fontId="18" fillId="0" borderId="0" xfId="0" applyFont="1"/>
    <xf numFmtId="0" fontId="19" fillId="33" borderId="0" xfId="0" applyFont="1" applyFill="1"/>
    <xf numFmtId="0" fontId="20" fillId="34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69" formatCode="0.0"/>
    </dxf>
    <dxf>
      <numFmt numFmtId="2" formatCode="0.00"/>
    </dxf>
    <dxf>
      <numFmt numFmtId="169" formatCode="0.0"/>
    </dxf>
    <dxf>
      <numFmt numFmtId="2" formatCode="0.00"/>
    </dxf>
    <dxf>
      <numFmt numFmtId="168" formatCode="0.000"/>
    </dxf>
    <dxf>
      <numFmt numFmtId="168" formatCode="0.000"/>
    </dxf>
    <dxf>
      <numFmt numFmtId="173" formatCode="0.0000"/>
    </dxf>
    <dxf>
      <numFmt numFmtId="173" formatCode="0.0000"/>
    </dxf>
    <dxf>
      <numFmt numFmtId="172" formatCode="0.00000"/>
    </dxf>
    <dxf>
      <numFmt numFmtId="172" formatCode="0.00000"/>
    </dxf>
    <dxf>
      <numFmt numFmtId="171" formatCode="0.000000"/>
    </dxf>
    <dxf>
      <numFmt numFmtId="171" formatCode="0.000000"/>
    </dxf>
    <dxf>
      <numFmt numFmtId="170" formatCode="0.0000000"/>
    </dxf>
    <dxf>
      <numFmt numFmtId="170" formatCode="0.000000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EF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el Bangura" refreshedDate="46273.960763657407" createdVersion="8" refreshedVersion="8" minRefreshableVersion="3" recordCount="40" xr:uid="{83EB56BC-1B61-5B4D-84B7-3EA58267334B}">
  <cacheSource type="worksheet">
    <worksheetSource ref="A1:P41" sheet="suppliers_scored"/>
  </cacheSource>
  <cacheFields count="16">
    <cacheField name="supplier_id" numFmtId="0">
      <sharedItems containsSemiMixedTypes="0" containsString="0" containsNumber="1" containsInteger="1" minValue="1" maxValue="40"/>
    </cacheField>
    <cacheField name="name" numFmtId="0">
      <sharedItems/>
    </cacheField>
    <cacheField name="country" numFmtId="0">
      <sharedItems count="8">
        <s v="Japan"/>
        <s v="India"/>
        <s v="South Korea"/>
        <s v="Mexico"/>
        <s v="China"/>
        <s v="USA"/>
        <s v="Taiwan"/>
        <s v="Germany"/>
      </sharedItems>
    </cacheField>
    <cacheField name="industry" numFmtId="0">
      <sharedItems/>
    </cacheField>
    <cacheField name="risk_score" numFmtId="0">
      <sharedItems containsSemiMixedTypes="0" containsString="0" containsNumber="1" minValue="1.3" maxValue="9.8000000000000007"/>
    </cacheField>
    <cacheField name="is_foreign_owned" numFmtId="0">
      <sharedItems/>
    </cacheField>
    <cacheField name="single_source" numFmtId="0">
      <sharedItems/>
    </cacheField>
    <cacheField name="foci_risk" numFmtId="0">
      <sharedItems count="3">
        <s v="MEDIUM RISK"/>
        <s v="LOW RISK"/>
        <s v="HIGH RISK"/>
      </sharedItems>
    </cacheField>
    <cacheField name="on_time_delivery_pct" numFmtId="0">
      <sharedItems containsSemiMixedTypes="0" containsString="0" containsNumber="1" containsInteger="1" minValue="71" maxValue="99"/>
    </cacheField>
    <cacheField name="defect_rate_pct" numFmtId="0">
      <sharedItems containsSemiMixedTypes="0" containsString="0" containsNumber="1" minValue="0.3" maxValue="7.4"/>
    </cacheField>
    <cacheField name="avg_response_days" numFmtId="0">
      <sharedItems containsSemiMixedTypes="0" containsString="0" containsNumber="1" containsInteger="1" minValue="1" maxValue="14"/>
    </cacheField>
    <cacheField name="delivery_score" numFmtId="0">
      <sharedItems containsSemiMixedTypes="0" containsString="0" containsNumber="1" containsInteger="1" minValue="71" maxValue="99"/>
    </cacheField>
    <cacheField name="quality_score" numFmtId="0">
      <sharedItems containsSemiMixedTypes="0" containsString="0" containsNumber="1" minValue="7.4999999999999956" maxValue="96.25"/>
    </cacheField>
    <cacheField name="response_score" numFmtId="0">
      <sharedItems containsSemiMixedTypes="0" containsString="0" containsNumber="1" minValue="0" maxValue="100"/>
    </cacheField>
    <cacheField name="composite_score" numFmtId="0">
      <sharedItems containsSemiMixedTypes="0" containsString="0" containsNumber="1" minValue="35.024999999999999" maxValue="94.748076923076923"/>
    </cacheField>
    <cacheField name="grade" numFmtId="0">
      <sharedItems count="5">
        <s v="C"/>
        <s v="D"/>
        <s v="B"/>
        <s v="F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s v="Falcon Aerospace 1"/>
    <x v="0"/>
    <s v="Circuit Boards"/>
    <n v="6.6"/>
    <b v="0"/>
    <b v="0"/>
    <x v="0"/>
    <n v="91"/>
    <n v="6.7"/>
    <n v="1"/>
    <n v="91"/>
    <n v="16.249999999999996"/>
    <n v="100"/>
    <n v="55.424999999999997"/>
    <x v="0"/>
  </r>
  <r>
    <n v="2"/>
    <s v="Ironclad Supply 2"/>
    <x v="1"/>
    <s v="Electronics"/>
    <n v="2.9"/>
    <b v="1"/>
    <b v="0"/>
    <x v="1"/>
    <n v="72"/>
    <n v="4.2"/>
    <n v="11"/>
    <n v="72"/>
    <n v="47.5"/>
    <n v="23.076923076923073"/>
    <n v="49.965384615384608"/>
    <x v="1"/>
  </r>
  <r>
    <n v="3"/>
    <s v="Acme Defense 3"/>
    <x v="2"/>
    <s v="Circuit Boards"/>
    <n v="7.5"/>
    <b v="0"/>
    <b v="1"/>
    <x v="2"/>
    <n v="83"/>
    <n v="4.5"/>
    <n v="11"/>
    <n v="83"/>
    <n v="43.75"/>
    <n v="23.076923076923073"/>
    <n v="51.390384615384612"/>
    <x v="1"/>
  </r>
  <r>
    <n v="4"/>
    <s v="Titan Manufacturing 4"/>
    <x v="3"/>
    <s v="Electronics"/>
    <n v="3.5"/>
    <b v="0"/>
    <b v="0"/>
    <x v="1"/>
    <n v="85"/>
    <n v="3.2"/>
    <n v="6"/>
    <n v="85"/>
    <n v="60"/>
    <n v="61.53846153846154"/>
    <n v="67.807692307692307"/>
    <x v="0"/>
  </r>
  <r>
    <n v="5"/>
    <s v="Northstar Compents 5"/>
    <x v="4"/>
    <s v="Circuit Boards"/>
    <n v="7.7"/>
    <b v="0"/>
    <b v="1"/>
    <x v="2"/>
    <n v="81"/>
    <n v="1.5"/>
    <n v="10"/>
    <n v="81"/>
    <n v="81.25"/>
    <n v="30.76923076923077"/>
    <n v="71.078846153846158"/>
    <x v="2"/>
  </r>
  <r>
    <n v="6"/>
    <s v="Vanguard Industries 6"/>
    <x v="0"/>
    <s v="Circuit Boards"/>
    <n v="7.3"/>
    <b v="1"/>
    <b v="1"/>
    <x v="2"/>
    <n v="82"/>
    <n v="7.3"/>
    <n v="7"/>
    <n v="82"/>
    <n v="8.7500000000000018"/>
    <n v="53.846153846153847"/>
    <n v="39.744230769230768"/>
    <x v="3"/>
  </r>
  <r>
    <n v="7"/>
    <s v="Sentinel Systems 7"/>
    <x v="4"/>
    <s v="Software"/>
    <n v="2.7"/>
    <b v="0"/>
    <b v="1"/>
    <x v="1"/>
    <n v="98"/>
    <n v="0.7"/>
    <n v="3"/>
    <n v="98"/>
    <n v="91.25"/>
    <n v="84.615384615384613"/>
    <n v="91.948076923076925"/>
    <x v="4"/>
  </r>
  <r>
    <n v="8"/>
    <s v="Titan Manufacturing 8"/>
    <x v="5"/>
    <s v="Software"/>
    <n v="3.8"/>
    <b v="1"/>
    <b v="1"/>
    <x v="0"/>
    <n v="90"/>
    <n v="5.7"/>
    <n v="11"/>
    <n v="90"/>
    <n v="28.749999999999996"/>
    <n v="23.076923076923073"/>
    <n v="45.990384615384613"/>
    <x v="1"/>
  </r>
  <r>
    <n v="9"/>
    <s v="Acme Defense 9"/>
    <x v="3"/>
    <s v="Circuit Boards"/>
    <n v="7.5"/>
    <b v="0"/>
    <b v="1"/>
    <x v="2"/>
    <n v="71"/>
    <n v="7.2"/>
    <n v="5"/>
    <n v="71"/>
    <n v="9.9999999999999982"/>
    <n v="69.230769230769226"/>
    <n v="40.146153846153851"/>
    <x v="1"/>
  </r>
  <r>
    <n v="10"/>
    <s v="Ironclad Supply 10"/>
    <x v="3"/>
    <s v="Software"/>
    <n v="1.3"/>
    <b v="0"/>
    <b v="1"/>
    <x v="1"/>
    <n v="78"/>
    <n v="5.0999999999999996"/>
    <n v="9"/>
    <n v="78"/>
    <n v="36.250000000000007"/>
    <n v="38.46153846153846"/>
    <n v="49.217307692307699"/>
    <x v="1"/>
  </r>
  <r>
    <n v="11"/>
    <s v="Northstar Compents 11"/>
    <x v="4"/>
    <s v="Circuit Boards"/>
    <n v="4.9000000000000004"/>
    <b v="0"/>
    <b v="0"/>
    <x v="1"/>
    <n v="92"/>
    <n v="3.1"/>
    <n v="4"/>
    <n v="92"/>
    <n v="61.250000000000007"/>
    <n v="76.92307692307692"/>
    <n v="73.609615384615381"/>
    <x v="2"/>
  </r>
  <r>
    <n v="12"/>
    <s v="Global Parts 12"/>
    <x v="0"/>
    <s v="Optics"/>
    <n v="7.3"/>
    <b v="1"/>
    <b v="0"/>
    <x v="2"/>
    <n v="96"/>
    <n v="0.7"/>
    <n v="9"/>
    <n v="96"/>
    <n v="91.25"/>
    <n v="38.46153846153846"/>
    <n v="82.117307692307691"/>
    <x v="2"/>
  </r>
  <r>
    <n v="13"/>
    <s v="Titan Manufacturing 13"/>
    <x v="2"/>
    <s v="Raw Materials"/>
    <n v="9.8000000000000007"/>
    <b v="0"/>
    <b v="1"/>
    <x v="2"/>
    <n v="77"/>
    <n v="2.7"/>
    <n v="12"/>
    <n v="77"/>
    <n v="66.25"/>
    <n v="15.384615384615385"/>
    <n v="59.301923076923075"/>
    <x v="0"/>
  </r>
  <r>
    <n v="14"/>
    <s v="Ironclad Supply 14"/>
    <x v="6"/>
    <s v="Machined Parts"/>
    <n v="5"/>
    <b v="1"/>
    <b v="1"/>
    <x v="2"/>
    <n v="97"/>
    <n v="6"/>
    <n v="3"/>
    <n v="97"/>
    <n v="25"/>
    <n v="84.615384615384613"/>
    <n v="58.523076923076914"/>
    <x v="0"/>
  </r>
  <r>
    <n v="15"/>
    <s v="Ironclad Supply 15"/>
    <x v="4"/>
    <s v="Machined Parts"/>
    <n v="7.3"/>
    <b v="0"/>
    <b v="1"/>
    <x v="2"/>
    <n v="74"/>
    <n v="3.2"/>
    <n v="11"/>
    <n v="74"/>
    <n v="60"/>
    <n v="23.076923076923073"/>
    <n v="56.815384615384616"/>
    <x v="0"/>
  </r>
  <r>
    <n v="16"/>
    <s v="Ironclad Supply 16"/>
    <x v="0"/>
    <s v="Machined Parts"/>
    <n v="3.7"/>
    <b v="0"/>
    <b v="1"/>
    <x v="1"/>
    <n v="74"/>
    <n v="7.4"/>
    <n v="2"/>
    <n v="74"/>
    <n v="7.4999999999999956"/>
    <n v="92.307692307692307"/>
    <n v="44.411538461538456"/>
    <x v="1"/>
  </r>
  <r>
    <n v="17"/>
    <s v="Apex Electronics 17"/>
    <x v="1"/>
    <s v="Software"/>
    <n v="7.7"/>
    <b v="1"/>
    <b v="1"/>
    <x v="2"/>
    <n v="94"/>
    <n v="2.1"/>
    <n v="4"/>
    <n v="94"/>
    <n v="73.75"/>
    <n v="76.92307692307692"/>
    <n v="80.45961538461539"/>
    <x v="2"/>
  </r>
  <r>
    <n v="18"/>
    <s v="Titan Manufacturing 18"/>
    <x v="2"/>
    <s v="Electronics"/>
    <n v="8.6"/>
    <b v="0"/>
    <b v="0"/>
    <x v="2"/>
    <n v="95"/>
    <n v="5.3"/>
    <n v="3"/>
    <n v="95"/>
    <n v="33.75"/>
    <n v="84.615384615384613"/>
    <n v="62.29807692307692"/>
    <x v="0"/>
  </r>
  <r>
    <n v="19"/>
    <s v="Titan Manufacturing 19"/>
    <x v="7"/>
    <s v="Raw Materials"/>
    <n v="8.6"/>
    <b v="0"/>
    <b v="0"/>
    <x v="2"/>
    <n v="99"/>
    <n v="6.8"/>
    <n v="11"/>
    <n v="99"/>
    <n v="15.000000000000002"/>
    <n v="23.076923076923073"/>
    <n v="41.815384615384616"/>
    <x v="1"/>
  </r>
  <r>
    <n v="20"/>
    <s v="Titan Manufacturing 20"/>
    <x v="1"/>
    <s v="Machined Parts"/>
    <n v="8.5"/>
    <b v="0"/>
    <b v="0"/>
    <x v="2"/>
    <n v="77"/>
    <n v="6.4"/>
    <n v="4"/>
    <n v="77"/>
    <n v="19.999999999999996"/>
    <n v="76.92307692307692"/>
    <n v="48.484615384615381"/>
    <x v="1"/>
  </r>
  <r>
    <n v="21"/>
    <s v="Apex Electronics 21"/>
    <x v="3"/>
    <s v="Raw Materials"/>
    <n v="4.0999999999999996"/>
    <b v="0"/>
    <b v="1"/>
    <x v="0"/>
    <n v="86"/>
    <n v="6.2"/>
    <n v="10"/>
    <n v="86"/>
    <n v="22.499999999999996"/>
    <n v="30.76923076923077"/>
    <n v="43.20384615384615"/>
    <x v="1"/>
  </r>
  <r>
    <n v="22"/>
    <s v="Northstar Compents 22"/>
    <x v="1"/>
    <s v="Raw Materials"/>
    <n v="8.8000000000000007"/>
    <b v="0"/>
    <b v="0"/>
    <x v="2"/>
    <n v="97"/>
    <n v="2.2999999999999998"/>
    <n v="4"/>
    <n v="97"/>
    <n v="71.25"/>
    <n v="76.92307692307692"/>
    <n v="80.109615384615381"/>
    <x v="2"/>
  </r>
  <r>
    <n v="23"/>
    <s v="Ironclad Supply 23"/>
    <x v="7"/>
    <s v="Circuit Boards"/>
    <n v="8.6"/>
    <b v="0"/>
    <b v="0"/>
    <x v="2"/>
    <n v="79"/>
    <n v="7.3"/>
    <n v="1"/>
    <n v="79"/>
    <n v="8.7500000000000018"/>
    <n v="100"/>
    <n v="48.075000000000003"/>
    <x v="1"/>
  </r>
  <r>
    <n v="24"/>
    <s v="Sentinel Systems 24"/>
    <x v="3"/>
    <s v="Machined Parts"/>
    <n v="8.5"/>
    <b v="1"/>
    <b v="0"/>
    <x v="2"/>
    <n v="76"/>
    <n v="5.4"/>
    <n v="11"/>
    <n v="76"/>
    <n v="32.499999999999993"/>
    <n v="23.076923076923073"/>
    <n v="43.66538461538461"/>
    <x v="1"/>
  </r>
  <r>
    <n v="25"/>
    <s v="Acme Defense 25"/>
    <x v="2"/>
    <s v="Software"/>
    <n v="2.2999999999999998"/>
    <b v="1"/>
    <b v="1"/>
    <x v="0"/>
    <n v="71"/>
    <n v="3.6"/>
    <n v="11"/>
    <n v="71"/>
    <n v="55.000000000000007"/>
    <n v="23.076923076923073"/>
    <n v="53.415384615384617"/>
    <x v="1"/>
  </r>
  <r>
    <n v="26"/>
    <s v="Ironclad Supply 26"/>
    <x v="5"/>
    <s v="Optics"/>
    <n v="9.4"/>
    <b v="1"/>
    <b v="1"/>
    <x v="2"/>
    <n v="89"/>
    <n v="3.8"/>
    <n v="12"/>
    <n v="89"/>
    <n v="52.5"/>
    <n v="15.384615384615385"/>
    <n v="56.026923076923083"/>
    <x v="0"/>
  </r>
  <r>
    <n v="27"/>
    <s v="Northstar Compents 27"/>
    <x v="6"/>
    <s v="Raw Materials"/>
    <n v="8.9"/>
    <b v="1"/>
    <b v="0"/>
    <x v="2"/>
    <n v="73"/>
    <n v="5.9"/>
    <n v="14"/>
    <n v="73"/>
    <n v="26.249999999999996"/>
    <n v="0"/>
    <n v="35.024999999999999"/>
    <x v="3"/>
  </r>
  <r>
    <n v="28"/>
    <s v="Vanguard Industries 28"/>
    <x v="3"/>
    <s v="Machined Parts"/>
    <n v="4.3"/>
    <b v="0"/>
    <b v="0"/>
    <x v="1"/>
    <n v="96"/>
    <n v="4.2"/>
    <n v="5"/>
    <n v="96"/>
    <n v="47.5"/>
    <n v="69.230769230769226"/>
    <n v="66.396153846153851"/>
    <x v="0"/>
  </r>
  <r>
    <n v="29"/>
    <s v="Titan Manufacturing 29"/>
    <x v="6"/>
    <s v="Software"/>
    <n v="4.7"/>
    <b v="0"/>
    <b v="1"/>
    <x v="0"/>
    <n v="97"/>
    <n v="2.6"/>
    <n v="10"/>
    <n v="97"/>
    <n v="67.5"/>
    <n v="30.76923076923077"/>
    <n v="69.003846153846155"/>
    <x v="0"/>
  </r>
  <r>
    <n v="30"/>
    <s v="Summit Machining 30"/>
    <x v="5"/>
    <s v="Software"/>
    <n v="8.3000000000000007"/>
    <b v="1"/>
    <b v="0"/>
    <x v="2"/>
    <n v="83"/>
    <n v="5.6"/>
    <n v="14"/>
    <n v="83"/>
    <n v="30.000000000000004"/>
    <n v="0"/>
    <n v="39.9"/>
    <x v="3"/>
  </r>
  <r>
    <n v="31"/>
    <s v="Falcon Aerospace 31"/>
    <x v="3"/>
    <s v="Electronics"/>
    <n v="6"/>
    <b v="1"/>
    <b v="1"/>
    <x v="2"/>
    <n v="96"/>
    <n v="5.8"/>
    <n v="6"/>
    <n v="96"/>
    <n v="27.500000000000004"/>
    <n v="61.53846153846154"/>
    <n v="54.857692307692304"/>
    <x v="1"/>
  </r>
  <r>
    <n v="32"/>
    <s v="Vanguard Industries 32"/>
    <x v="5"/>
    <s v="Optics"/>
    <n v="3.9"/>
    <b v="0"/>
    <b v="1"/>
    <x v="1"/>
    <n v="77"/>
    <n v="5.6"/>
    <n v="9"/>
    <n v="77"/>
    <n v="30.000000000000004"/>
    <n v="38.46153846153846"/>
    <n v="45.792307692307695"/>
    <x v="1"/>
  </r>
  <r>
    <n v="33"/>
    <s v="Titan Manufacturing 33"/>
    <x v="2"/>
    <s v="Machined Parts"/>
    <n v="1.3"/>
    <b v="1"/>
    <b v="1"/>
    <x v="1"/>
    <n v="82"/>
    <n v="2.2999999999999998"/>
    <n v="3"/>
    <n v="82"/>
    <n v="71.25"/>
    <n v="84.615384615384613"/>
    <n v="77.148076923076914"/>
    <x v="2"/>
  </r>
  <r>
    <n v="34"/>
    <s v="Summit Machining 34"/>
    <x v="6"/>
    <s v="Electronics"/>
    <n v="9"/>
    <b v="1"/>
    <b v="0"/>
    <x v="2"/>
    <n v="94"/>
    <n v="3"/>
    <n v="4"/>
    <n v="94"/>
    <n v="62.5"/>
    <n v="76.92307692307692"/>
    <n v="74.83461538461539"/>
    <x v="2"/>
  </r>
  <r>
    <n v="35"/>
    <s v="Global Parts 35"/>
    <x v="3"/>
    <s v="Software"/>
    <n v="1.4"/>
    <b v="0"/>
    <b v="0"/>
    <x v="1"/>
    <n v="86"/>
    <n v="5.2"/>
    <n v="10"/>
    <n v="86"/>
    <n v="35"/>
    <n v="30.76923076923077"/>
    <n v="49.45384615384615"/>
    <x v="1"/>
  </r>
  <r>
    <n v="36"/>
    <s v="Titan Manufacturing 36"/>
    <x v="5"/>
    <s v="Optics"/>
    <n v="9.5"/>
    <b v="0"/>
    <b v="1"/>
    <x v="2"/>
    <n v="75"/>
    <n v="6.5"/>
    <n v="2"/>
    <n v="75"/>
    <n v="18.75"/>
    <n v="92.307692307692307"/>
    <n v="50.336538461538467"/>
    <x v="1"/>
  </r>
  <r>
    <n v="37"/>
    <s v="Global Parts 37"/>
    <x v="3"/>
    <s v="Circuit Boards"/>
    <n v="3"/>
    <b v="1"/>
    <b v="0"/>
    <x v="0"/>
    <n v="99"/>
    <n v="0.3"/>
    <n v="3"/>
    <n v="99"/>
    <n v="96.25"/>
    <n v="84.615384615384613"/>
    <n v="94.748076923076923"/>
    <x v="4"/>
  </r>
  <r>
    <n v="38"/>
    <s v="Titan Manufacturing 38"/>
    <x v="7"/>
    <s v="Optics"/>
    <n v="3.6"/>
    <b v="1"/>
    <b v="0"/>
    <x v="0"/>
    <n v="75"/>
    <n v="6.4"/>
    <n v="10"/>
    <n v="75"/>
    <n v="19.999999999999996"/>
    <n v="30.76923076923077"/>
    <n v="38.653846153846153"/>
    <x v="3"/>
  </r>
  <r>
    <n v="39"/>
    <s v="Sentinel Systems 39"/>
    <x v="0"/>
    <s v="Machined Parts"/>
    <n v="4.0999999999999996"/>
    <b v="1"/>
    <b v="1"/>
    <x v="0"/>
    <n v="97"/>
    <n v="4.7"/>
    <n v="13"/>
    <n v="97"/>
    <n v="41.25"/>
    <n v="7.6923076923076872"/>
    <n v="51.263461538461534"/>
    <x v="1"/>
  </r>
  <r>
    <n v="40"/>
    <s v="Titan Manufacturing 40"/>
    <x v="7"/>
    <s v="Circuit Boards"/>
    <n v="5.8"/>
    <b v="1"/>
    <b v="1"/>
    <x v="2"/>
    <n v="76"/>
    <n v="1.3"/>
    <n v="10"/>
    <n v="76"/>
    <n v="83.75"/>
    <n v="30.76923076923077"/>
    <n v="70.82884615384615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87974-E8BC-B541-999E-41A6E64308B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rade">
  <location ref="A20:E27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uppli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8FAD4-6FA9-8A48-A8FC-004A357ED85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C12" firstHeaderRow="0" firstDataRow="1" firstDataCol="1"/>
  <pivotFields count="16">
    <pivotField dataField="1" showAll="0"/>
    <pivotField showAll="0"/>
    <pivotField axis="axisRow" showAll="0">
      <items count="9">
        <item x="4"/>
        <item x="7"/>
        <item x="1"/>
        <item x="0"/>
        <item x="3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mposite_score" fld="14" subtotal="average" baseField="0" baseItem="0" numFmtId="169"/>
    <dataField name="Count of supplier_id" fld="0" subtotal="count" baseField="0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06D9-7CB7-AD49-AF2D-06D4055CAE20}">
  <dimension ref="A1:E27"/>
  <sheetViews>
    <sheetView tabSelected="1" workbookViewId="0">
      <selection activeCell="G37" sqref="G37"/>
    </sheetView>
  </sheetViews>
  <sheetFormatPr baseColWidth="10" defaultRowHeight="16" x14ac:dyDescent="0.2"/>
  <cols>
    <col min="1" max="1" width="33.6640625" bestFit="1" customWidth="1"/>
    <col min="2" max="2" width="24.83203125" bestFit="1" customWidth="1"/>
    <col min="3" max="3" width="17.6640625" bestFit="1" customWidth="1"/>
    <col min="4" max="4" width="12.33203125" bestFit="1" customWidth="1"/>
    <col min="5" max="5" width="10.5" bestFit="1" customWidth="1"/>
  </cols>
  <sheetData>
    <row r="1" spans="1:3" x14ac:dyDescent="0.2">
      <c r="A1" s="5" t="s">
        <v>92</v>
      </c>
    </row>
    <row r="2" spans="1:3" x14ac:dyDescent="0.2">
      <c r="B2" s="7"/>
    </row>
    <row r="3" spans="1:3" x14ac:dyDescent="0.2">
      <c r="A3" s="1" t="s">
        <v>75</v>
      </c>
      <c r="B3" t="s">
        <v>84</v>
      </c>
      <c r="C3" t="s">
        <v>85</v>
      </c>
    </row>
    <row r="4" spans="1:3" x14ac:dyDescent="0.2">
      <c r="A4" s="2" t="s">
        <v>22</v>
      </c>
      <c r="B4" s="4">
        <v>73.362980769230774</v>
      </c>
      <c r="C4" s="3">
        <v>4</v>
      </c>
    </row>
    <row r="5" spans="1:3" x14ac:dyDescent="0.2">
      <c r="A5" s="2" t="s">
        <v>43</v>
      </c>
      <c r="B5" s="4">
        <v>49.843269230769238</v>
      </c>
      <c r="C5" s="3">
        <v>4</v>
      </c>
    </row>
    <row r="6" spans="1:3" x14ac:dyDescent="0.2">
      <c r="A6" s="2" t="s">
        <v>13</v>
      </c>
      <c r="B6" s="4">
        <v>64.754807692307693</v>
      </c>
      <c r="C6" s="3">
        <v>4</v>
      </c>
    </row>
    <row r="7" spans="1:3" x14ac:dyDescent="0.2">
      <c r="A7" s="2" t="s">
        <v>9</v>
      </c>
      <c r="B7" s="4">
        <v>54.592307692307678</v>
      </c>
      <c r="C7" s="3">
        <v>5</v>
      </c>
    </row>
    <row r="8" spans="1:3" x14ac:dyDescent="0.2">
      <c r="A8" s="2" t="s">
        <v>20</v>
      </c>
      <c r="B8" s="4">
        <v>56.61068376068377</v>
      </c>
      <c r="C8" s="3">
        <v>9</v>
      </c>
    </row>
    <row r="9" spans="1:3" x14ac:dyDescent="0.2">
      <c r="A9" s="2" t="s">
        <v>17</v>
      </c>
      <c r="B9" s="4">
        <v>60.710769230769223</v>
      </c>
      <c r="C9" s="3">
        <v>5</v>
      </c>
    </row>
    <row r="10" spans="1:3" x14ac:dyDescent="0.2">
      <c r="A10" s="2" t="s">
        <v>36</v>
      </c>
      <c r="B10" s="4">
        <v>59.346634615384616</v>
      </c>
      <c r="C10" s="3">
        <v>4</v>
      </c>
    </row>
    <row r="11" spans="1:3" x14ac:dyDescent="0.2">
      <c r="A11" s="2" t="s">
        <v>27</v>
      </c>
      <c r="B11" s="4">
        <v>47.60923076923077</v>
      </c>
      <c r="C11" s="3">
        <v>5</v>
      </c>
    </row>
    <row r="12" spans="1:3" x14ac:dyDescent="0.2">
      <c r="A12" s="2" t="s">
        <v>83</v>
      </c>
      <c r="B12" s="4">
        <v>57.832211538461536</v>
      </c>
      <c r="C12" s="3">
        <v>40</v>
      </c>
    </row>
    <row r="18" spans="1:5" x14ac:dyDescent="0.2">
      <c r="A18" s="5" t="s">
        <v>93</v>
      </c>
    </row>
    <row r="20" spans="1:5" x14ac:dyDescent="0.2">
      <c r="A20" s="1" t="s">
        <v>85</v>
      </c>
      <c r="B20" s="1" t="s">
        <v>91</v>
      </c>
    </row>
    <row r="21" spans="1:5" x14ac:dyDescent="0.2">
      <c r="A21" s="1" t="s">
        <v>82</v>
      </c>
      <c r="B21" t="s">
        <v>18</v>
      </c>
      <c r="C21" t="s">
        <v>15</v>
      </c>
      <c r="D21" t="s">
        <v>11</v>
      </c>
      <c r="E21" t="s">
        <v>83</v>
      </c>
    </row>
    <row r="22" spans="1:5" x14ac:dyDescent="0.2">
      <c r="A22" s="2" t="s">
        <v>86</v>
      </c>
      <c r="B22" s="3"/>
      <c r="C22" s="3">
        <v>1</v>
      </c>
      <c r="D22" s="3">
        <v>1</v>
      </c>
      <c r="E22" s="3">
        <v>2</v>
      </c>
    </row>
    <row r="23" spans="1:5" x14ac:dyDescent="0.2">
      <c r="A23" s="2" t="s">
        <v>87</v>
      </c>
      <c r="B23" s="3">
        <v>6</v>
      </c>
      <c r="C23" s="3">
        <v>2</v>
      </c>
      <c r="D23" s="3"/>
      <c r="E23" s="3">
        <v>8</v>
      </c>
    </row>
    <row r="24" spans="1:5" x14ac:dyDescent="0.2">
      <c r="A24" s="2" t="s">
        <v>88</v>
      </c>
      <c r="B24" s="3">
        <v>5</v>
      </c>
      <c r="C24" s="3">
        <v>2</v>
      </c>
      <c r="D24" s="3">
        <v>2</v>
      </c>
      <c r="E24" s="3">
        <v>9</v>
      </c>
    </row>
    <row r="25" spans="1:5" x14ac:dyDescent="0.2">
      <c r="A25" s="2" t="s">
        <v>89</v>
      </c>
      <c r="B25" s="3">
        <v>8</v>
      </c>
      <c r="C25" s="3">
        <v>5</v>
      </c>
      <c r="D25" s="3">
        <v>4</v>
      </c>
      <c r="E25" s="3">
        <v>17</v>
      </c>
    </row>
    <row r="26" spans="1:5" x14ac:dyDescent="0.2">
      <c r="A26" s="2" t="s">
        <v>90</v>
      </c>
      <c r="B26" s="3">
        <v>3</v>
      </c>
      <c r="C26" s="3"/>
      <c r="D26" s="3">
        <v>1</v>
      </c>
      <c r="E26" s="3">
        <v>4</v>
      </c>
    </row>
    <row r="27" spans="1:5" x14ac:dyDescent="0.2">
      <c r="A27" s="2" t="s">
        <v>83</v>
      </c>
      <c r="B27" s="3">
        <v>22</v>
      </c>
      <c r="C27" s="3">
        <v>10</v>
      </c>
      <c r="D27" s="3">
        <v>8</v>
      </c>
      <c r="E27" s="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0542-2B22-CE41-8DCE-79D1E6F3757B}">
  <dimension ref="A1:P41"/>
  <sheetViews>
    <sheetView workbookViewId="0">
      <pane ySplit="1" topLeftCell="A2" activePane="bottomLeft" state="frozen"/>
      <selection pane="bottomLeft" activeCell="A5" sqref="A5"/>
    </sheetView>
  </sheetViews>
  <sheetFormatPr baseColWidth="10" defaultRowHeight="16" x14ac:dyDescent="0.2"/>
  <cols>
    <col min="1" max="1" width="10" customWidth="1"/>
    <col min="2" max="2" width="20.1640625" bestFit="1" customWidth="1"/>
    <col min="4" max="4" width="13.6640625" customWidth="1"/>
    <col min="5" max="5" width="9.33203125" customWidth="1"/>
    <col min="6" max="6" width="15" bestFit="1" customWidth="1"/>
    <col min="7" max="8" width="12.1640625" bestFit="1" customWidth="1"/>
    <col min="9" max="9" width="18.5" bestFit="1" customWidth="1"/>
    <col min="10" max="10" width="14" bestFit="1" customWidth="1"/>
    <col min="11" max="11" width="16.6640625" bestFit="1" customWidth="1"/>
    <col min="12" max="12" width="12.83203125" bestFit="1" customWidth="1"/>
    <col min="13" max="13" width="12" bestFit="1" customWidth="1"/>
    <col min="14" max="14" width="13.83203125" bestFit="1" customWidth="1"/>
    <col min="15" max="15" width="15" bestFit="1" customWidth="1"/>
    <col min="16" max="16" width="5.6640625" bestFit="1" customWidth="1"/>
  </cols>
  <sheetData>
    <row r="1" spans="1: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  <c r="N1" s="6" t="s">
        <v>70</v>
      </c>
      <c r="O1" s="6" t="s">
        <v>71</v>
      </c>
      <c r="P1" s="6" t="s">
        <v>72</v>
      </c>
    </row>
    <row r="2" spans="1:16" x14ac:dyDescent="0.2">
      <c r="A2">
        <v>1</v>
      </c>
      <c r="B2" t="s">
        <v>8</v>
      </c>
      <c r="C2" t="s">
        <v>9</v>
      </c>
      <c r="D2" t="s">
        <v>10</v>
      </c>
      <c r="E2">
        <v>6.6</v>
      </c>
      <c r="F2" t="b">
        <v>0</v>
      </c>
      <c r="G2" t="b">
        <v>0</v>
      </c>
      <c r="H2" t="s">
        <v>11</v>
      </c>
      <c r="I2">
        <v>91</v>
      </c>
      <c r="J2">
        <v>6.7</v>
      </c>
      <c r="K2">
        <v>1</v>
      </c>
      <c r="L2">
        <f>I2</f>
        <v>91</v>
      </c>
      <c r="M2" s="4">
        <f>(1-J2/8)*100</f>
        <v>16.249999999999996</v>
      </c>
      <c r="N2" s="4">
        <f>(1-(K2-1)/13)*100</f>
        <v>100</v>
      </c>
      <c r="O2" s="4">
        <f>L2*0.3+M2*0.5+N2*0.2</f>
        <v>55.424999999999997</v>
      </c>
      <c r="P2" t="str" cm="1">
        <f t="array" ref="P2">_xlfn.IFS(O2&gt;=85,"A",O2&gt;=70,"B",O2&gt;=55,"C",O2&gt;=40,"D",TRUE,"F")</f>
        <v>C</v>
      </c>
    </row>
    <row r="3" spans="1:16" x14ac:dyDescent="0.2">
      <c r="A3">
        <v>2</v>
      </c>
      <c r="B3" t="s">
        <v>12</v>
      </c>
      <c r="C3" t="s">
        <v>13</v>
      </c>
      <c r="D3" t="s">
        <v>14</v>
      </c>
      <c r="E3">
        <v>2.9</v>
      </c>
      <c r="F3" t="b">
        <v>1</v>
      </c>
      <c r="G3" t="b">
        <v>0</v>
      </c>
      <c r="H3" t="s">
        <v>15</v>
      </c>
      <c r="I3">
        <v>72</v>
      </c>
      <c r="J3">
        <v>4.2</v>
      </c>
      <c r="K3">
        <v>11</v>
      </c>
      <c r="L3">
        <f t="shared" ref="L3:L41" si="0">I3</f>
        <v>72</v>
      </c>
      <c r="M3">
        <f t="shared" ref="M3:M41" si="1">(1-J3/8)*100</f>
        <v>47.5</v>
      </c>
      <c r="N3" s="4">
        <f t="shared" ref="N3:N41" si="2">(1-(K3-1)/13)*100</f>
        <v>23.076923076923073</v>
      </c>
      <c r="O3" s="4">
        <f t="shared" ref="O3:O41" si="3">L3*0.3+M3*0.5+N3*0.2</f>
        <v>49.965384615384608</v>
      </c>
      <c r="P3" t="str" cm="1">
        <f t="array" ref="P3">_xlfn.IFS(O3&gt;=85,"A",O3&gt;=70,"B",O3&gt;=55,"C",O3&gt;=40,"D",TRUE,"F")</f>
        <v>D</v>
      </c>
    </row>
    <row r="4" spans="1:16" x14ac:dyDescent="0.2">
      <c r="A4">
        <v>3</v>
      </c>
      <c r="B4" t="s">
        <v>16</v>
      </c>
      <c r="C4" t="s">
        <v>17</v>
      </c>
      <c r="D4" t="s">
        <v>10</v>
      </c>
      <c r="E4">
        <v>7.5</v>
      </c>
      <c r="F4" t="b">
        <v>0</v>
      </c>
      <c r="G4" t="b">
        <v>1</v>
      </c>
      <c r="H4" t="s">
        <v>18</v>
      </c>
      <c r="I4">
        <v>83</v>
      </c>
      <c r="J4">
        <v>4.5</v>
      </c>
      <c r="K4">
        <v>11</v>
      </c>
      <c r="L4">
        <f t="shared" si="0"/>
        <v>83</v>
      </c>
      <c r="M4" s="4">
        <f t="shared" si="1"/>
        <v>43.75</v>
      </c>
      <c r="N4" s="4">
        <f t="shared" si="2"/>
        <v>23.076923076923073</v>
      </c>
      <c r="O4" s="4">
        <f t="shared" si="3"/>
        <v>51.390384615384612</v>
      </c>
      <c r="P4" t="str" cm="1">
        <f t="array" ref="P4">_xlfn.IFS(O4&gt;=85,"A",O4&gt;=70,"B",O4&gt;=55,"C",O4&gt;=40,"D",TRUE,"F")</f>
        <v>D</v>
      </c>
    </row>
    <row r="5" spans="1:16" x14ac:dyDescent="0.2">
      <c r="A5">
        <v>4</v>
      </c>
      <c r="B5" t="s">
        <v>19</v>
      </c>
      <c r="C5" t="s">
        <v>20</v>
      </c>
      <c r="D5" t="s">
        <v>14</v>
      </c>
      <c r="E5">
        <v>3.5</v>
      </c>
      <c r="F5" t="b">
        <v>0</v>
      </c>
      <c r="G5" t="b">
        <v>0</v>
      </c>
      <c r="H5" t="s">
        <v>15</v>
      </c>
      <c r="I5">
        <v>85</v>
      </c>
      <c r="J5">
        <v>3.2</v>
      </c>
      <c r="K5">
        <v>6</v>
      </c>
      <c r="L5">
        <f t="shared" si="0"/>
        <v>85</v>
      </c>
      <c r="M5">
        <f t="shared" si="1"/>
        <v>60</v>
      </c>
      <c r="N5" s="4">
        <f t="shared" si="2"/>
        <v>61.53846153846154</v>
      </c>
      <c r="O5" s="4">
        <f t="shared" si="3"/>
        <v>67.807692307692307</v>
      </c>
      <c r="P5" t="str" cm="1">
        <f t="array" ref="P5">_xlfn.IFS(O5&gt;=85,"A",O5&gt;=70,"B",O5&gt;=55,"C",O5&gt;=40,"D",TRUE,"F")</f>
        <v>C</v>
      </c>
    </row>
    <row r="6" spans="1:16" x14ac:dyDescent="0.2">
      <c r="A6">
        <v>5</v>
      </c>
      <c r="B6" t="s">
        <v>21</v>
      </c>
      <c r="C6" t="s">
        <v>22</v>
      </c>
      <c r="D6" t="s">
        <v>10</v>
      </c>
      <c r="E6">
        <v>7.7</v>
      </c>
      <c r="F6" t="b">
        <v>0</v>
      </c>
      <c r="G6" t="b">
        <v>1</v>
      </c>
      <c r="H6" t="s">
        <v>18</v>
      </c>
      <c r="I6">
        <v>81</v>
      </c>
      <c r="J6">
        <v>1.5</v>
      </c>
      <c r="K6">
        <v>10</v>
      </c>
      <c r="L6">
        <f t="shared" si="0"/>
        <v>81</v>
      </c>
      <c r="M6" s="4">
        <f t="shared" si="1"/>
        <v>81.25</v>
      </c>
      <c r="N6" s="4">
        <f t="shared" si="2"/>
        <v>30.76923076923077</v>
      </c>
      <c r="O6" s="4">
        <f t="shared" si="3"/>
        <v>71.078846153846158</v>
      </c>
      <c r="P6" t="str" cm="1">
        <f t="array" ref="P6">_xlfn.IFS(O6&gt;=85,"A",O6&gt;=70,"B",O6&gt;=55,"C",O6&gt;=40,"D",TRUE,"F")</f>
        <v>B</v>
      </c>
    </row>
    <row r="7" spans="1:16" x14ac:dyDescent="0.2">
      <c r="A7">
        <v>6</v>
      </c>
      <c r="B7" t="s">
        <v>23</v>
      </c>
      <c r="C7" t="s">
        <v>9</v>
      </c>
      <c r="D7" t="s">
        <v>10</v>
      </c>
      <c r="E7">
        <v>7.3</v>
      </c>
      <c r="F7" t="b">
        <v>1</v>
      </c>
      <c r="G7" t="b">
        <v>1</v>
      </c>
      <c r="H7" t="s">
        <v>18</v>
      </c>
      <c r="I7">
        <v>82</v>
      </c>
      <c r="J7">
        <v>7.3</v>
      </c>
      <c r="K7">
        <v>7</v>
      </c>
      <c r="L7">
        <f t="shared" si="0"/>
        <v>82</v>
      </c>
      <c r="M7" s="4">
        <f t="shared" si="1"/>
        <v>8.7500000000000018</v>
      </c>
      <c r="N7" s="4">
        <f t="shared" si="2"/>
        <v>53.846153846153847</v>
      </c>
      <c r="O7" s="4">
        <f t="shared" si="3"/>
        <v>39.744230769230768</v>
      </c>
      <c r="P7" t="str" cm="1">
        <f t="array" ref="P7">_xlfn.IFS(O7&gt;=85,"A",O7&gt;=70,"B",O7&gt;=55,"C",O7&gt;=40,"D",TRUE,"F")</f>
        <v>F</v>
      </c>
    </row>
    <row r="8" spans="1:16" x14ac:dyDescent="0.2">
      <c r="A8">
        <v>7</v>
      </c>
      <c r="B8" t="s">
        <v>24</v>
      </c>
      <c r="C8" t="s">
        <v>22</v>
      </c>
      <c r="D8" t="s">
        <v>25</v>
      </c>
      <c r="E8">
        <v>2.7</v>
      </c>
      <c r="F8" t="b">
        <v>0</v>
      </c>
      <c r="G8" t="b">
        <v>1</v>
      </c>
      <c r="H8" t="s">
        <v>15</v>
      </c>
      <c r="I8">
        <v>98</v>
      </c>
      <c r="J8">
        <v>0.7</v>
      </c>
      <c r="K8">
        <v>3</v>
      </c>
      <c r="L8">
        <f t="shared" si="0"/>
        <v>98</v>
      </c>
      <c r="M8" s="4">
        <f t="shared" si="1"/>
        <v>91.25</v>
      </c>
      <c r="N8" s="4">
        <f t="shared" si="2"/>
        <v>84.615384615384613</v>
      </c>
      <c r="O8" s="4">
        <f t="shared" si="3"/>
        <v>91.948076923076925</v>
      </c>
      <c r="P8" t="str" cm="1">
        <f t="array" ref="P8">_xlfn.IFS(O8&gt;=85,"A",O8&gt;=70,"B",O8&gt;=55,"C",O8&gt;=40,"D",TRUE,"F")</f>
        <v>A</v>
      </c>
    </row>
    <row r="9" spans="1:16" x14ac:dyDescent="0.2">
      <c r="A9">
        <v>8</v>
      </c>
      <c r="B9" t="s">
        <v>26</v>
      </c>
      <c r="C9" t="s">
        <v>27</v>
      </c>
      <c r="D9" t="s">
        <v>25</v>
      </c>
      <c r="E9">
        <v>3.8</v>
      </c>
      <c r="F9" t="b">
        <v>1</v>
      </c>
      <c r="G9" t="b">
        <v>1</v>
      </c>
      <c r="H9" t="s">
        <v>11</v>
      </c>
      <c r="I9">
        <v>90</v>
      </c>
      <c r="J9">
        <v>5.7</v>
      </c>
      <c r="K9">
        <v>11</v>
      </c>
      <c r="L9">
        <f t="shared" si="0"/>
        <v>90</v>
      </c>
      <c r="M9" s="4">
        <f t="shared" si="1"/>
        <v>28.749999999999996</v>
      </c>
      <c r="N9" s="4">
        <f t="shared" si="2"/>
        <v>23.076923076923073</v>
      </c>
      <c r="O9" s="4">
        <f t="shared" si="3"/>
        <v>45.990384615384613</v>
      </c>
      <c r="P9" t="str" cm="1">
        <f t="array" ref="P9">_xlfn.IFS(O9&gt;=85,"A",O9&gt;=70,"B",O9&gt;=55,"C",O9&gt;=40,"D",TRUE,"F")</f>
        <v>D</v>
      </c>
    </row>
    <row r="10" spans="1:16" x14ac:dyDescent="0.2">
      <c r="A10">
        <v>9</v>
      </c>
      <c r="B10" t="s">
        <v>28</v>
      </c>
      <c r="C10" t="s">
        <v>20</v>
      </c>
      <c r="D10" t="s">
        <v>10</v>
      </c>
      <c r="E10">
        <v>7.5</v>
      </c>
      <c r="F10" t="b">
        <v>0</v>
      </c>
      <c r="G10" t="b">
        <v>1</v>
      </c>
      <c r="H10" t="s">
        <v>18</v>
      </c>
      <c r="I10">
        <v>71</v>
      </c>
      <c r="J10">
        <v>7.2</v>
      </c>
      <c r="K10">
        <v>5</v>
      </c>
      <c r="L10">
        <f t="shared" si="0"/>
        <v>71</v>
      </c>
      <c r="M10">
        <f t="shared" si="1"/>
        <v>9.9999999999999982</v>
      </c>
      <c r="N10" s="4">
        <f t="shared" si="2"/>
        <v>69.230769230769226</v>
      </c>
      <c r="O10" s="4">
        <f t="shared" si="3"/>
        <v>40.146153846153851</v>
      </c>
      <c r="P10" t="str" cm="1">
        <f t="array" ref="P10">_xlfn.IFS(O10&gt;=85,"A",O10&gt;=70,"B",O10&gt;=55,"C",O10&gt;=40,"D",TRUE,"F")</f>
        <v>D</v>
      </c>
    </row>
    <row r="11" spans="1:16" x14ac:dyDescent="0.2">
      <c r="A11">
        <v>10</v>
      </c>
      <c r="B11" t="s">
        <v>29</v>
      </c>
      <c r="C11" t="s">
        <v>20</v>
      </c>
      <c r="D11" t="s">
        <v>25</v>
      </c>
      <c r="E11">
        <v>1.3</v>
      </c>
      <c r="F11" t="b">
        <v>0</v>
      </c>
      <c r="G11" t="b">
        <v>1</v>
      </c>
      <c r="H11" t="s">
        <v>15</v>
      </c>
      <c r="I11">
        <v>78</v>
      </c>
      <c r="J11">
        <v>5.0999999999999996</v>
      </c>
      <c r="K11">
        <v>9</v>
      </c>
      <c r="L11">
        <f t="shared" si="0"/>
        <v>78</v>
      </c>
      <c r="M11" s="4">
        <f t="shared" si="1"/>
        <v>36.250000000000007</v>
      </c>
      <c r="N11" s="4">
        <f t="shared" si="2"/>
        <v>38.46153846153846</v>
      </c>
      <c r="O11" s="4">
        <f t="shared" si="3"/>
        <v>49.217307692307699</v>
      </c>
      <c r="P11" t="str" cm="1">
        <f t="array" ref="P11">_xlfn.IFS(O11&gt;=85,"A",O11&gt;=70,"B",O11&gt;=55,"C",O11&gt;=40,"D",TRUE,"F")</f>
        <v>D</v>
      </c>
    </row>
    <row r="12" spans="1:16" x14ac:dyDescent="0.2">
      <c r="A12">
        <v>11</v>
      </c>
      <c r="B12" t="s">
        <v>30</v>
      </c>
      <c r="C12" t="s">
        <v>22</v>
      </c>
      <c r="D12" t="s">
        <v>10</v>
      </c>
      <c r="E12">
        <v>4.9000000000000004</v>
      </c>
      <c r="F12" t="b">
        <v>0</v>
      </c>
      <c r="G12" t="b">
        <v>0</v>
      </c>
      <c r="H12" t="s">
        <v>15</v>
      </c>
      <c r="I12">
        <v>92</v>
      </c>
      <c r="J12">
        <v>3.1</v>
      </c>
      <c r="K12">
        <v>4</v>
      </c>
      <c r="L12">
        <f t="shared" si="0"/>
        <v>92</v>
      </c>
      <c r="M12" s="4">
        <f t="shared" si="1"/>
        <v>61.250000000000007</v>
      </c>
      <c r="N12" s="4">
        <f t="shared" si="2"/>
        <v>76.92307692307692</v>
      </c>
      <c r="O12" s="4">
        <f t="shared" si="3"/>
        <v>73.609615384615381</v>
      </c>
      <c r="P12" t="str" cm="1">
        <f t="array" ref="P12">_xlfn.IFS(O12&gt;=85,"A",O12&gt;=70,"B",O12&gt;=55,"C",O12&gt;=40,"D",TRUE,"F")</f>
        <v>B</v>
      </c>
    </row>
    <row r="13" spans="1:16" x14ac:dyDescent="0.2">
      <c r="A13">
        <v>12</v>
      </c>
      <c r="B13" t="s">
        <v>31</v>
      </c>
      <c r="C13" t="s">
        <v>9</v>
      </c>
      <c r="D13" t="s">
        <v>32</v>
      </c>
      <c r="E13">
        <v>7.3</v>
      </c>
      <c r="F13" t="b">
        <v>1</v>
      </c>
      <c r="G13" t="b">
        <v>0</v>
      </c>
      <c r="H13" t="s">
        <v>18</v>
      </c>
      <c r="I13">
        <v>96</v>
      </c>
      <c r="J13">
        <v>0.7</v>
      </c>
      <c r="K13">
        <v>9</v>
      </c>
      <c r="L13">
        <f t="shared" si="0"/>
        <v>96</v>
      </c>
      <c r="M13" s="4">
        <f t="shared" si="1"/>
        <v>91.25</v>
      </c>
      <c r="N13" s="4">
        <f t="shared" si="2"/>
        <v>38.46153846153846</v>
      </c>
      <c r="O13" s="4">
        <f t="shared" si="3"/>
        <v>82.117307692307691</v>
      </c>
      <c r="P13" t="str" cm="1">
        <f t="array" ref="P13">_xlfn.IFS(O13&gt;=85,"A",O13&gt;=70,"B",O13&gt;=55,"C",O13&gt;=40,"D",TRUE,"F")</f>
        <v>B</v>
      </c>
    </row>
    <row r="14" spans="1:16" x14ac:dyDescent="0.2">
      <c r="A14">
        <v>13</v>
      </c>
      <c r="B14" t="s">
        <v>33</v>
      </c>
      <c r="C14" t="s">
        <v>17</v>
      </c>
      <c r="D14" t="s">
        <v>34</v>
      </c>
      <c r="E14">
        <v>9.8000000000000007</v>
      </c>
      <c r="F14" t="b">
        <v>0</v>
      </c>
      <c r="G14" t="b">
        <v>1</v>
      </c>
      <c r="H14" t="s">
        <v>18</v>
      </c>
      <c r="I14">
        <v>77</v>
      </c>
      <c r="J14">
        <v>2.7</v>
      </c>
      <c r="K14">
        <v>12</v>
      </c>
      <c r="L14">
        <f t="shared" si="0"/>
        <v>77</v>
      </c>
      <c r="M14" s="4">
        <f t="shared" si="1"/>
        <v>66.25</v>
      </c>
      <c r="N14" s="4">
        <f t="shared" si="2"/>
        <v>15.384615384615385</v>
      </c>
      <c r="O14" s="4">
        <f t="shared" si="3"/>
        <v>59.301923076923075</v>
      </c>
      <c r="P14" t="str" cm="1">
        <f t="array" ref="P14">_xlfn.IFS(O14&gt;=85,"A",O14&gt;=70,"B",O14&gt;=55,"C",O14&gt;=40,"D",TRUE,"F")</f>
        <v>C</v>
      </c>
    </row>
    <row r="15" spans="1:16" x14ac:dyDescent="0.2">
      <c r="A15">
        <v>14</v>
      </c>
      <c r="B15" t="s">
        <v>35</v>
      </c>
      <c r="C15" t="s">
        <v>36</v>
      </c>
      <c r="D15" t="s">
        <v>37</v>
      </c>
      <c r="E15">
        <v>5</v>
      </c>
      <c r="F15" t="b">
        <v>1</v>
      </c>
      <c r="G15" t="b">
        <v>1</v>
      </c>
      <c r="H15" t="s">
        <v>18</v>
      </c>
      <c r="I15">
        <v>97</v>
      </c>
      <c r="J15">
        <v>6</v>
      </c>
      <c r="K15">
        <v>3</v>
      </c>
      <c r="L15">
        <f t="shared" si="0"/>
        <v>97</v>
      </c>
      <c r="M15">
        <f t="shared" si="1"/>
        <v>25</v>
      </c>
      <c r="N15" s="4">
        <f t="shared" si="2"/>
        <v>84.615384615384613</v>
      </c>
      <c r="O15" s="4">
        <f t="shared" si="3"/>
        <v>58.523076923076914</v>
      </c>
      <c r="P15" t="str" cm="1">
        <f t="array" ref="P15">_xlfn.IFS(O15&gt;=85,"A",O15&gt;=70,"B",O15&gt;=55,"C",O15&gt;=40,"D",TRUE,"F")</f>
        <v>C</v>
      </c>
    </row>
    <row r="16" spans="1:16" x14ac:dyDescent="0.2">
      <c r="A16">
        <v>15</v>
      </c>
      <c r="B16" t="s">
        <v>38</v>
      </c>
      <c r="C16" t="s">
        <v>22</v>
      </c>
      <c r="D16" t="s">
        <v>37</v>
      </c>
      <c r="E16">
        <v>7.3</v>
      </c>
      <c r="F16" t="b">
        <v>0</v>
      </c>
      <c r="G16" t="b">
        <v>1</v>
      </c>
      <c r="H16" t="s">
        <v>18</v>
      </c>
      <c r="I16">
        <v>74</v>
      </c>
      <c r="J16">
        <v>3.2</v>
      </c>
      <c r="K16">
        <v>11</v>
      </c>
      <c r="L16">
        <f t="shared" si="0"/>
        <v>74</v>
      </c>
      <c r="M16">
        <f t="shared" si="1"/>
        <v>60</v>
      </c>
      <c r="N16" s="4">
        <f t="shared" si="2"/>
        <v>23.076923076923073</v>
      </c>
      <c r="O16" s="4">
        <f t="shared" si="3"/>
        <v>56.815384615384616</v>
      </c>
      <c r="P16" t="str" cm="1">
        <f t="array" ref="P16">_xlfn.IFS(O16&gt;=85,"A",O16&gt;=70,"B",O16&gt;=55,"C",O16&gt;=40,"D",TRUE,"F")</f>
        <v>C</v>
      </c>
    </row>
    <row r="17" spans="1:16" x14ac:dyDescent="0.2">
      <c r="A17">
        <v>16</v>
      </c>
      <c r="B17" t="s">
        <v>39</v>
      </c>
      <c r="C17" t="s">
        <v>9</v>
      </c>
      <c r="D17" t="s">
        <v>37</v>
      </c>
      <c r="E17">
        <v>3.7</v>
      </c>
      <c r="F17" t="b">
        <v>0</v>
      </c>
      <c r="G17" t="b">
        <v>1</v>
      </c>
      <c r="H17" t="s">
        <v>15</v>
      </c>
      <c r="I17">
        <v>74</v>
      </c>
      <c r="J17">
        <v>7.4</v>
      </c>
      <c r="K17">
        <v>2</v>
      </c>
      <c r="L17">
        <f t="shared" si="0"/>
        <v>74</v>
      </c>
      <c r="M17">
        <f t="shared" si="1"/>
        <v>7.4999999999999956</v>
      </c>
      <c r="N17" s="4">
        <f t="shared" si="2"/>
        <v>92.307692307692307</v>
      </c>
      <c r="O17" s="4">
        <f t="shared" si="3"/>
        <v>44.411538461538456</v>
      </c>
      <c r="P17" t="str" cm="1">
        <f t="array" ref="P17">_xlfn.IFS(O17&gt;=85,"A",O17&gt;=70,"B",O17&gt;=55,"C",O17&gt;=40,"D",TRUE,"F")</f>
        <v>D</v>
      </c>
    </row>
    <row r="18" spans="1:16" x14ac:dyDescent="0.2">
      <c r="A18">
        <v>17</v>
      </c>
      <c r="B18" t="s">
        <v>40</v>
      </c>
      <c r="C18" t="s">
        <v>13</v>
      </c>
      <c r="D18" t="s">
        <v>25</v>
      </c>
      <c r="E18">
        <v>7.7</v>
      </c>
      <c r="F18" t="b">
        <v>1</v>
      </c>
      <c r="G18" t="b">
        <v>1</v>
      </c>
      <c r="H18" t="s">
        <v>18</v>
      </c>
      <c r="I18">
        <v>94</v>
      </c>
      <c r="J18">
        <v>2.1</v>
      </c>
      <c r="K18">
        <v>4</v>
      </c>
      <c r="L18">
        <f t="shared" si="0"/>
        <v>94</v>
      </c>
      <c r="M18" s="4">
        <f t="shared" si="1"/>
        <v>73.75</v>
      </c>
      <c r="N18" s="4">
        <f t="shared" si="2"/>
        <v>76.92307692307692</v>
      </c>
      <c r="O18" s="4">
        <f t="shared" si="3"/>
        <v>80.45961538461539</v>
      </c>
      <c r="P18" t="str" cm="1">
        <f t="array" ref="P18">_xlfn.IFS(O18&gt;=85,"A",O18&gt;=70,"B",O18&gt;=55,"C",O18&gt;=40,"D",TRUE,"F")</f>
        <v>B</v>
      </c>
    </row>
    <row r="19" spans="1:16" x14ac:dyDescent="0.2">
      <c r="A19">
        <v>18</v>
      </c>
      <c r="B19" t="s">
        <v>41</v>
      </c>
      <c r="C19" t="s">
        <v>17</v>
      </c>
      <c r="D19" t="s">
        <v>14</v>
      </c>
      <c r="E19">
        <v>8.6</v>
      </c>
      <c r="F19" t="b">
        <v>0</v>
      </c>
      <c r="G19" t="b">
        <v>0</v>
      </c>
      <c r="H19" t="s">
        <v>18</v>
      </c>
      <c r="I19">
        <v>95</v>
      </c>
      <c r="J19">
        <v>5.3</v>
      </c>
      <c r="K19">
        <v>3</v>
      </c>
      <c r="L19">
        <f t="shared" si="0"/>
        <v>95</v>
      </c>
      <c r="M19" s="4">
        <f t="shared" si="1"/>
        <v>33.75</v>
      </c>
      <c r="N19" s="4">
        <f t="shared" si="2"/>
        <v>84.615384615384613</v>
      </c>
      <c r="O19" s="4">
        <f t="shared" si="3"/>
        <v>62.29807692307692</v>
      </c>
      <c r="P19" t="str" cm="1">
        <f t="array" ref="P19">_xlfn.IFS(O19&gt;=85,"A",O19&gt;=70,"B",O19&gt;=55,"C",O19&gt;=40,"D",TRUE,"F")</f>
        <v>C</v>
      </c>
    </row>
    <row r="20" spans="1:16" x14ac:dyDescent="0.2">
      <c r="A20">
        <v>19</v>
      </c>
      <c r="B20" t="s">
        <v>42</v>
      </c>
      <c r="C20" t="s">
        <v>43</v>
      </c>
      <c r="D20" t="s">
        <v>34</v>
      </c>
      <c r="E20">
        <v>8.6</v>
      </c>
      <c r="F20" t="b">
        <v>0</v>
      </c>
      <c r="G20" t="b">
        <v>0</v>
      </c>
      <c r="H20" t="s">
        <v>18</v>
      </c>
      <c r="I20">
        <v>99</v>
      </c>
      <c r="J20">
        <v>6.8</v>
      </c>
      <c r="K20">
        <v>11</v>
      </c>
      <c r="L20">
        <f t="shared" si="0"/>
        <v>99</v>
      </c>
      <c r="M20">
        <f t="shared" si="1"/>
        <v>15.000000000000002</v>
      </c>
      <c r="N20" s="4">
        <f t="shared" si="2"/>
        <v>23.076923076923073</v>
      </c>
      <c r="O20" s="4">
        <f t="shared" si="3"/>
        <v>41.815384615384616</v>
      </c>
      <c r="P20" t="str" cm="1">
        <f t="array" ref="P20">_xlfn.IFS(O20&gt;=85,"A",O20&gt;=70,"B",O20&gt;=55,"C",O20&gt;=40,"D",TRUE,"F")</f>
        <v>D</v>
      </c>
    </row>
    <row r="21" spans="1:16" x14ac:dyDescent="0.2">
      <c r="A21">
        <v>20</v>
      </c>
      <c r="B21" t="s">
        <v>44</v>
      </c>
      <c r="C21" t="s">
        <v>13</v>
      </c>
      <c r="D21" t="s">
        <v>37</v>
      </c>
      <c r="E21">
        <v>8.5</v>
      </c>
      <c r="F21" t="b">
        <v>0</v>
      </c>
      <c r="G21" t="b">
        <v>0</v>
      </c>
      <c r="H21" t="s">
        <v>18</v>
      </c>
      <c r="I21">
        <v>77</v>
      </c>
      <c r="J21">
        <v>6.4</v>
      </c>
      <c r="K21">
        <v>4</v>
      </c>
      <c r="L21">
        <f t="shared" si="0"/>
        <v>77</v>
      </c>
      <c r="M21">
        <f t="shared" si="1"/>
        <v>19.999999999999996</v>
      </c>
      <c r="N21" s="4">
        <f t="shared" si="2"/>
        <v>76.92307692307692</v>
      </c>
      <c r="O21" s="4">
        <f t="shared" si="3"/>
        <v>48.484615384615381</v>
      </c>
      <c r="P21" t="str" cm="1">
        <f t="array" ref="P21">_xlfn.IFS(O21&gt;=85,"A",O21&gt;=70,"B",O21&gt;=55,"C",O21&gt;=40,"D",TRUE,"F")</f>
        <v>D</v>
      </c>
    </row>
    <row r="22" spans="1:16" x14ac:dyDescent="0.2">
      <c r="A22">
        <v>21</v>
      </c>
      <c r="B22" t="s">
        <v>45</v>
      </c>
      <c r="C22" t="s">
        <v>20</v>
      </c>
      <c r="D22" t="s">
        <v>34</v>
      </c>
      <c r="E22">
        <v>4.0999999999999996</v>
      </c>
      <c r="F22" t="b">
        <v>0</v>
      </c>
      <c r="G22" t="b">
        <v>1</v>
      </c>
      <c r="H22" t="s">
        <v>11</v>
      </c>
      <c r="I22">
        <v>86</v>
      </c>
      <c r="J22">
        <v>6.2</v>
      </c>
      <c r="K22">
        <v>10</v>
      </c>
      <c r="L22">
        <f t="shared" si="0"/>
        <v>86</v>
      </c>
      <c r="M22">
        <f t="shared" si="1"/>
        <v>22.499999999999996</v>
      </c>
      <c r="N22" s="4">
        <f t="shared" si="2"/>
        <v>30.76923076923077</v>
      </c>
      <c r="O22" s="4">
        <f t="shared" si="3"/>
        <v>43.20384615384615</v>
      </c>
      <c r="P22" t="str" cm="1">
        <f t="array" ref="P22">_xlfn.IFS(O22&gt;=85,"A",O22&gt;=70,"B",O22&gt;=55,"C",O22&gt;=40,"D",TRUE,"F")</f>
        <v>D</v>
      </c>
    </row>
    <row r="23" spans="1:16" x14ac:dyDescent="0.2">
      <c r="A23">
        <v>22</v>
      </c>
      <c r="B23" t="s">
        <v>46</v>
      </c>
      <c r="C23" t="s">
        <v>13</v>
      </c>
      <c r="D23" t="s">
        <v>34</v>
      </c>
      <c r="E23">
        <v>8.8000000000000007</v>
      </c>
      <c r="F23" t="b">
        <v>0</v>
      </c>
      <c r="G23" t="b">
        <v>0</v>
      </c>
      <c r="H23" t="s">
        <v>18</v>
      </c>
      <c r="I23">
        <v>97</v>
      </c>
      <c r="J23">
        <v>2.2999999999999998</v>
      </c>
      <c r="K23">
        <v>4</v>
      </c>
      <c r="L23">
        <f t="shared" si="0"/>
        <v>97</v>
      </c>
      <c r="M23" s="4">
        <f t="shared" si="1"/>
        <v>71.25</v>
      </c>
      <c r="N23" s="4">
        <f t="shared" si="2"/>
        <v>76.92307692307692</v>
      </c>
      <c r="O23" s="4">
        <f t="shared" si="3"/>
        <v>80.109615384615381</v>
      </c>
      <c r="P23" t="str" cm="1">
        <f t="array" ref="P23">_xlfn.IFS(O23&gt;=85,"A",O23&gt;=70,"B",O23&gt;=55,"C",O23&gt;=40,"D",TRUE,"F")</f>
        <v>B</v>
      </c>
    </row>
    <row r="24" spans="1:16" x14ac:dyDescent="0.2">
      <c r="A24">
        <v>23</v>
      </c>
      <c r="B24" t="s">
        <v>47</v>
      </c>
      <c r="C24" t="s">
        <v>43</v>
      </c>
      <c r="D24" t="s">
        <v>10</v>
      </c>
      <c r="E24">
        <v>8.6</v>
      </c>
      <c r="F24" t="b">
        <v>0</v>
      </c>
      <c r="G24" t="b">
        <v>0</v>
      </c>
      <c r="H24" t="s">
        <v>18</v>
      </c>
      <c r="I24">
        <v>79</v>
      </c>
      <c r="J24">
        <v>7.3</v>
      </c>
      <c r="K24">
        <v>1</v>
      </c>
      <c r="L24">
        <f t="shared" si="0"/>
        <v>79</v>
      </c>
      <c r="M24" s="4">
        <f t="shared" si="1"/>
        <v>8.7500000000000018</v>
      </c>
      <c r="N24" s="4">
        <f t="shared" si="2"/>
        <v>100</v>
      </c>
      <c r="O24" s="4">
        <f t="shared" si="3"/>
        <v>48.075000000000003</v>
      </c>
      <c r="P24" t="str" cm="1">
        <f t="array" ref="P24">_xlfn.IFS(O24&gt;=85,"A",O24&gt;=70,"B",O24&gt;=55,"C",O24&gt;=40,"D",TRUE,"F")</f>
        <v>D</v>
      </c>
    </row>
    <row r="25" spans="1:16" x14ac:dyDescent="0.2">
      <c r="A25">
        <v>24</v>
      </c>
      <c r="B25" t="s">
        <v>48</v>
      </c>
      <c r="C25" t="s">
        <v>20</v>
      </c>
      <c r="D25" t="s">
        <v>37</v>
      </c>
      <c r="E25">
        <v>8.5</v>
      </c>
      <c r="F25" t="b">
        <v>1</v>
      </c>
      <c r="G25" t="b">
        <v>0</v>
      </c>
      <c r="H25" t="s">
        <v>18</v>
      </c>
      <c r="I25">
        <v>76</v>
      </c>
      <c r="J25">
        <v>5.4</v>
      </c>
      <c r="K25">
        <v>11</v>
      </c>
      <c r="L25">
        <f t="shared" si="0"/>
        <v>76</v>
      </c>
      <c r="M25">
        <f t="shared" si="1"/>
        <v>32.499999999999993</v>
      </c>
      <c r="N25" s="4">
        <f t="shared" si="2"/>
        <v>23.076923076923073</v>
      </c>
      <c r="O25" s="4">
        <f t="shared" si="3"/>
        <v>43.66538461538461</v>
      </c>
      <c r="P25" t="str" cm="1">
        <f t="array" ref="P25">_xlfn.IFS(O25&gt;=85,"A",O25&gt;=70,"B",O25&gt;=55,"C",O25&gt;=40,"D",TRUE,"F")</f>
        <v>D</v>
      </c>
    </row>
    <row r="26" spans="1:16" x14ac:dyDescent="0.2">
      <c r="A26">
        <v>25</v>
      </c>
      <c r="B26" t="s">
        <v>49</v>
      </c>
      <c r="C26" t="s">
        <v>17</v>
      </c>
      <c r="D26" t="s">
        <v>25</v>
      </c>
      <c r="E26">
        <v>2.2999999999999998</v>
      </c>
      <c r="F26" t="b">
        <v>1</v>
      </c>
      <c r="G26" t="b">
        <v>1</v>
      </c>
      <c r="H26" t="s">
        <v>11</v>
      </c>
      <c r="I26">
        <v>71</v>
      </c>
      <c r="J26">
        <v>3.6</v>
      </c>
      <c r="K26">
        <v>11</v>
      </c>
      <c r="L26">
        <f t="shared" si="0"/>
        <v>71</v>
      </c>
      <c r="M26">
        <f t="shared" si="1"/>
        <v>55.000000000000007</v>
      </c>
      <c r="N26" s="4">
        <f t="shared" si="2"/>
        <v>23.076923076923073</v>
      </c>
      <c r="O26" s="4">
        <f t="shared" si="3"/>
        <v>53.415384615384617</v>
      </c>
      <c r="P26" t="str" cm="1">
        <f t="array" ref="P26">_xlfn.IFS(O26&gt;=85,"A",O26&gt;=70,"B",O26&gt;=55,"C",O26&gt;=40,"D",TRUE,"F")</f>
        <v>D</v>
      </c>
    </row>
    <row r="27" spans="1:16" x14ac:dyDescent="0.2">
      <c r="A27">
        <v>26</v>
      </c>
      <c r="B27" t="s">
        <v>50</v>
      </c>
      <c r="C27" t="s">
        <v>27</v>
      </c>
      <c r="D27" t="s">
        <v>32</v>
      </c>
      <c r="E27">
        <v>9.4</v>
      </c>
      <c r="F27" t="b">
        <v>1</v>
      </c>
      <c r="G27" t="b">
        <v>1</v>
      </c>
      <c r="H27" t="s">
        <v>18</v>
      </c>
      <c r="I27">
        <v>89</v>
      </c>
      <c r="J27">
        <v>3.8</v>
      </c>
      <c r="K27">
        <v>12</v>
      </c>
      <c r="L27">
        <f t="shared" si="0"/>
        <v>89</v>
      </c>
      <c r="M27">
        <f t="shared" si="1"/>
        <v>52.5</v>
      </c>
      <c r="N27" s="4">
        <f t="shared" si="2"/>
        <v>15.384615384615385</v>
      </c>
      <c r="O27" s="4">
        <f t="shared" si="3"/>
        <v>56.026923076923083</v>
      </c>
      <c r="P27" t="str" cm="1">
        <f t="array" ref="P27">_xlfn.IFS(O27&gt;=85,"A",O27&gt;=70,"B",O27&gt;=55,"C",O27&gt;=40,"D",TRUE,"F")</f>
        <v>C</v>
      </c>
    </row>
    <row r="28" spans="1:16" x14ac:dyDescent="0.2">
      <c r="A28">
        <v>27</v>
      </c>
      <c r="B28" t="s">
        <v>51</v>
      </c>
      <c r="C28" t="s">
        <v>36</v>
      </c>
      <c r="D28" t="s">
        <v>34</v>
      </c>
      <c r="E28">
        <v>8.9</v>
      </c>
      <c r="F28" t="b">
        <v>1</v>
      </c>
      <c r="G28" t="b">
        <v>0</v>
      </c>
      <c r="H28" t="s">
        <v>18</v>
      </c>
      <c r="I28">
        <v>73</v>
      </c>
      <c r="J28">
        <v>5.9</v>
      </c>
      <c r="K28">
        <v>14</v>
      </c>
      <c r="L28">
        <f t="shared" si="0"/>
        <v>73</v>
      </c>
      <c r="M28" s="4">
        <f t="shared" si="1"/>
        <v>26.249999999999996</v>
      </c>
      <c r="N28" s="4">
        <f t="shared" si="2"/>
        <v>0</v>
      </c>
      <c r="O28" s="4">
        <f t="shared" si="3"/>
        <v>35.024999999999999</v>
      </c>
      <c r="P28" t="str" cm="1">
        <f t="array" ref="P28">_xlfn.IFS(O28&gt;=85,"A",O28&gt;=70,"B",O28&gt;=55,"C",O28&gt;=40,"D",TRUE,"F")</f>
        <v>F</v>
      </c>
    </row>
    <row r="29" spans="1:16" x14ac:dyDescent="0.2">
      <c r="A29">
        <v>28</v>
      </c>
      <c r="B29" t="s">
        <v>52</v>
      </c>
      <c r="C29" t="s">
        <v>20</v>
      </c>
      <c r="D29" t="s">
        <v>37</v>
      </c>
      <c r="E29">
        <v>4.3</v>
      </c>
      <c r="F29" t="b">
        <v>0</v>
      </c>
      <c r="G29" t="b">
        <v>0</v>
      </c>
      <c r="H29" t="s">
        <v>15</v>
      </c>
      <c r="I29">
        <v>96</v>
      </c>
      <c r="J29">
        <v>4.2</v>
      </c>
      <c r="K29">
        <v>5</v>
      </c>
      <c r="L29">
        <f t="shared" si="0"/>
        <v>96</v>
      </c>
      <c r="M29">
        <f t="shared" si="1"/>
        <v>47.5</v>
      </c>
      <c r="N29" s="4">
        <f t="shared" si="2"/>
        <v>69.230769230769226</v>
      </c>
      <c r="O29" s="4">
        <f t="shared" si="3"/>
        <v>66.396153846153851</v>
      </c>
      <c r="P29" t="str" cm="1">
        <f t="array" ref="P29">_xlfn.IFS(O29&gt;=85,"A",O29&gt;=70,"B",O29&gt;=55,"C",O29&gt;=40,"D",TRUE,"F")</f>
        <v>C</v>
      </c>
    </row>
    <row r="30" spans="1:16" x14ac:dyDescent="0.2">
      <c r="A30">
        <v>29</v>
      </c>
      <c r="B30" t="s">
        <v>53</v>
      </c>
      <c r="C30" t="s">
        <v>36</v>
      </c>
      <c r="D30" t="s">
        <v>25</v>
      </c>
      <c r="E30">
        <v>4.7</v>
      </c>
      <c r="F30" t="b">
        <v>0</v>
      </c>
      <c r="G30" t="b">
        <v>1</v>
      </c>
      <c r="H30" t="s">
        <v>11</v>
      </c>
      <c r="I30">
        <v>97</v>
      </c>
      <c r="J30">
        <v>2.6</v>
      </c>
      <c r="K30">
        <v>10</v>
      </c>
      <c r="L30">
        <f t="shared" si="0"/>
        <v>97</v>
      </c>
      <c r="M30">
        <f t="shared" si="1"/>
        <v>67.5</v>
      </c>
      <c r="N30" s="4">
        <f t="shared" si="2"/>
        <v>30.76923076923077</v>
      </c>
      <c r="O30" s="4">
        <f t="shared" si="3"/>
        <v>69.003846153846155</v>
      </c>
      <c r="P30" t="str" cm="1">
        <f t="array" ref="P30">_xlfn.IFS(O30&gt;=85,"A",O30&gt;=70,"B",O30&gt;=55,"C",O30&gt;=40,"D",TRUE,"F")</f>
        <v>C</v>
      </c>
    </row>
    <row r="31" spans="1:16" x14ac:dyDescent="0.2">
      <c r="A31">
        <v>30</v>
      </c>
      <c r="B31" t="s">
        <v>54</v>
      </c>
      <c r="C31" t="s">
        <v>27</v>
      </c>
      <c r="D31" t="s">
        <v>25</v>
      </c>
      <c r="E31">
        <v>8.3000000000000007</v>
      </c>
      <c r="F31" t="b">
        <v>1</v>
      </c>
      <c r="G31" t="b">
        <v>0</v>
      </c>
      <c r="H31" t="s">
        <v>18</v>
      </c>
      <c r="I31">
        <v>83</v>
      </c>
      <c r="J31">
        <v>5.6</v>
      </c>
      <c r="K31">
        <v>14</v>
      </c>
      <c r="L31">
        <f t="shared" si="0"/>
        <v>83</v>
      </c>
      <c r="M31">
        <f t="shared" si="1"/>
        <v>30.000000000000004</v>
      </c>
      <c r="N31" s="4">
        <f t="shared" si="2"/>
        <v>0</v>
      </c>
      <c r="O31" s="4">
        <f t="shared" si="3"/>
        <v>39.9</v>
      </c>
      <c r="P31" t="str" cm="1">
        <f t="array" ref="P31">_xlfn.IFS(O31&gt;=85,"A",O31&gt;=70,"B",O31&gt;=55,"C",O31&gt;=40,"D",TRUE,"F")</f>
        <v>F</v>
      </c>
    </row>
    <row r="32" spans="1:16" x14ac:dyDescent="0.2">
      <c r="A32">
        <v>31</v>
      </c>
      <c r="B32" t="s">
        <v>55</v>
      </c>
      <c r="C32" t="s">
        <v>20</v>
      </c>
      <c r="D32" t="s">
        <v>14</v>
      </c>
      <c r="E32">
        <v>6</v>
      </c>
      <c r="F32" t="b">
        <v>1</v>
      </c>
      <c r="G32" t="b">
        <v>1</v>
      </c>
      <c r="H32" t="s">
        <v>18</v>
      </c>
      <c r="I32">
        <v>96</v>
      </c>
      <c r="J32">
        <v>5.8</v>
      </c>
      <c r="K32">
        <v>6</v>
      </c>
      <c r="L32">
        <f t="shared" si="0"/>
        <v>96</v>
      </c>
      <c r="M32">
        <f t="shared" si="1"/>
        <v>27.500000000000004</v>
      </c>
      <c r="N32" s="4">
        <f t="shared" si="2"/>
        <v>61.53846153846154</v>
      </c>
      <c r="O32" s="4">
        <f t="shared" si="3"/>
        <v>54.857692307692304</v>
      </c>
      <c r="P32" t="str" cm="1">
        <f t="array" ref="P32">_xlfn.IFS(O32&gt;=85,"A",O32&gt;=70,"B",O32&gt;=55,"C",O32&gt;=40,"D",TRUE,"F")</f>
        <v>D</v>
      </c>
    </row>
    <row r="33" spans="1:16" x14ac:dyDescent="0.2">
      <c r="A33">
        <v>32</v>
      </c>
      <c r="B33" t="s">
        <v>56</v>
      </c>
      <c r="C33" t="s">
        <v>27</v>
      </c>
      <c r="D33" t="s">
        <v>32</v>
      </c>
      <c r="E33">
        <v>3.9</v>
      </c>
      <c r="F33" t="b">
        <v>0</v>
      </c>
      <c r="G33" t="b">
        <v>1</v>
      </c>
      <c r="H33" t="s">
        <v>15</v>
      </c>
      <c r="I33">
        <v>77</v>
      </c>
      <c r="J33">
        <v>5.6</v>
      </c>
      <c r="K33">
        <v>9</v>
      </c>
      <c r="L33">
        <f t="shared" si="0"/>
        <v>77</v>
      </c>
      <c r="M33">
        <f t="shared" si="1"/>
        <v>30.000000000000004</v>
      </c>
      <c r="N33" s="4">
        <f t="shared" si="2"/>
        <v>38.46153846153846</v>
      </c>
      <c r="O33" s="4">
        <f t="shared" si="3"/>
        <v>45.792307692307695</v>
      </c>
      <c r="P33" t="str" cm="1">
        <f t="array" ref="P33">_xlfn.IFS(O33&gt;=85,"A",O33&gt;=70,"B",O33&gt;=55,"C",O33&gt;=40,"D",TRUE,"F")</f>
        <v>D</v>
      </c>
    </row>
    <row r="34" spans="1:16" x14ac:dyDescent="0.2">
      <c r="A34">
        <v>33</v>
      </c>
      <c r="B34" t="s">
        <v>57</v>
      </c>
      <c r="C34" t="s">
        <v>17</v>
      </c>
      <c r="D34" t="s">
        <v>37</v>
      </c>
      <c r="E34">
        <v>1.3</v>
      </c>
      <c r="F34" t="b">
        <v>1</v>
      </c>
      <c r="G34" t="b">
        <v>1</v>
      </c>
      <c r="H34" t="s">
        <v>15</v>
      </c>
      <c r="I34">
        <v>82</v>
      </c>
      <c r="J34">
        <v>2.2999999999999998</v>
      </c>
      <c r="K34">
        <v>3</v>
      </c>
      <c r="L34">
        <f t="shared" si="0"/>
        <v>82</v>
      </c>
      <c r="M34" s="4">
        <f t="shared" si="1"/>
        <v>71.25</v>
      </c>
      <c r="N34" s="4">
        <f t="shared" si="2"/>
        <v>84.615384615384613</v>
      </c>
      <c r="O34" s="4">
        <f t="shared" si="3"/>
        <v>77.148076923076914</v>
      </c>
      <c r="P34" t="str" cm="1">
        <f t="array" ref="P34">_xlfn.IFS(O34&gt;=85,"A",O34&gt;=70,"B",O34&gt;=55,"C",O34&gt;=40,"D",TRUE,"F")</f>
        <v>B</v>
      </c>
    </row>
    <row r="35" spans="1:16" x14ac:dyDescent="0.2">
      <c r="A35">
        <v>34</v>
      </c>
      <c r="B35" t="s">
        <v>58</v>
      </c>
      <c r="C35" t="s">
        <v>36</v>
      </c>
      <c r="D35" t="s">
        <v>14</v>
      </c>
      <c r="E35">
        <v>9</v>
      </c>
      <c r="F35" t="b">
        <v>1</v>
      </c>
      <c r="G35" t="b">
        <v>0</v>
      </c>
      <c r="H35" t="s">
        <v>18</v>
      </c>
      <c r="I35">
        <v>94</v>
      </c>
      <c r="J35">
        <v>3</v>
      </c>
      <c r="K35">
        <v>4</v>
      </c>
      <c r="L35">
        <f t="shared" si="0"/>
        <v>94</v>
      </c>
      <c r="M35">
        <f t="shared" si="1"/>
        <v>62.5</v>
      </c>
      <c r="N35" s="4">
        <f t="shared" si="2"/>
        <v>76.92307692307692</v>
      </c>
      <c r="O35" s="4">
        <f t="shared" si="3"/>
        <v>74.83461538461539</v>
      </c>
      <c r="P35" t="str" cm="1">
        <f t="array" ref="P35">_xlfn.IFS(O35&gt;=85,"A",O35&gt;=70,"B",O35&gt;=55,"C",O35&gt;=40,"D",TRUE,"F")</f>
        <v>B</v>
      </c>
    </row>
    <row r="36" spans="1:16" x14ac:dyDescent="0.2">
      <c r="A36">
        <v>35</v>
      </c>
      <c r="B36" t="s">
        <v>59</v>
      </c>
      <c r="C36" t="s">
        <v>20</v>
      </c>
      <c r="D36" t="s">
        <v>25</v>
      </c>
      <c r="E36">
        <v>1.4</v>
      </c>
      <c r="F36" t="b">
        <v>0</v>
      </c>
      <c r="G36" t="b">
        <v>0</v>
      </c>
      <c r="H36" t="s">
        <v>15</v>
      </c>
      <c r="I36">
        <v>86</v>
      </c>
      <c r="J36">
        <v>5.2</v>
      </c>
      <c r="K36">
        <v>10</v>
      </c>
      <c r="L36">
        <f t="shared" si="0"/>
        <v>86</v>
      </c>
      <c r="M36">
        <f t="shared" si="1"/>
        <v>35</v>
      </c>
      <c r="N36" s="4">
        <f t="shared" si="2"/>
        <v>30.76923076923077</v>
      </c>
      <c r="O36" s="4">
        <f t="shared" si="3"/>
        <v>49.45384615384615</v>
      </c>
      <c r="P36" t="str" cm="1">
        <f t="array" ref="P36">_xlfn.IFS(O36&gt;=85,"A",O36&gt;=70,"B",O36&gt;=55,"C",O36&gt;=40,"D",TRUE,"F")</f>
        <v>D</v>
      </c>
    </row>
    <row r="37" spans="1:16" x14ac:dyDescent="0.2">
      <c r="A37">
        <v>36</v>
      </c>
      <c r="B37" t="s">
        <v>60</v>
      </c>
      <c r="C37" t="s">
        <v>27</v>
      </c>
      <c r="D37" t="s">
        <v>32</v>
      </c>
      <c r="E37">
        <v>9.5</v>
      </c>
      <c r="F37" t="b">
        <v>0</v>
      </c>
      <c r="G37" t="b">
        <v>1</v>
      </c>
      <c r="H37" t="s">
        <v>18</v>
      </c>
      <c r="I37">
        <v>75</v>
      </c>
      <c r="J37">
        <v>6.5</v>
      </c>
      <c r="K37">
        <v>2</v>
      </c>
      <c r="L37">
        <f t="shared" si="0"/>
        <v>75</v>
      </c>
      <c r="M37" s="4">
        <f t="shared" si="1"/>
        <v>18.75</v>
      </c>
      <c r="N37" s="4">
        <f t="shared" si="2"/>
        <v>92.307692307692307</v>
      </c>
      <c r="O37" s="4">
        <f t="shared" si="3"/>
        <v>50.336538461538467</v>
      </c>
      <c r="P37" t="str" cm="1">
        <f t="array" ref="P37">_xlfn.IFS(O37&gt;=85,"A",O37&gt;=70,"B",O37&gt;=55,"C",O37&gt;=40,"D",TRUE,"F")</f>
        <v>D</v>
      </c>
    </row>
    <row r="38" spans="1:16" x14ac:dyDescent="0.2">
      <c r="A38">
        <v>37</v>
      </c>
      <c r="B38" t="s">
        <v>61</v>
      </c>
      <c r="C38" t="s">
        <v>20</v>
      </c>
      <c r="D38" t="s">
        <v>10</v>
      </c>
      <c r="E38">
        <v>3</v>
      </c>
      <c r="F38" t="b">
        <v>1</v>
      </c>
      <c r="G38" t="b">
        <v>0</v>
      </c>
      <c r="H38" t="s">
        <v>11</v>
      </c>
      <c r="I38">
        <v>99</v>
      </c>
      <c r="J38">
        <v>0.3</v>
      </c>
      <c r="K38">
        <v>3</v>
      </c>
      <c r="L38">
        <f t="shared" si="0"/>
        <v>99</v>
      </c>
      <c r="M38" s="4">
        <f t="shared" si="1"/>
        <v>96.25</v>
      </c>
      <c r="N38" s="4">
        <f t="shared" si="2"/>
        <v>84.615384615384613</v>
      </c>
      <c r="O38" s="4">
        <f t="shared" si="3"/>
        <v>94.748076923076923</v>
      </c>
      <c r="P38" t="str" cm="1">
        <f t="array" ref="P38">_xlfn.IFS(O38&gt;=85,"A",O38&gt;=70,"B",O38&gt;=55,"C",O38&gt;=40,"D",TRUE,"F")</f>
        <v>A</v>
      </c>
    </row>
    <row r="39" spans="1:16" x14ac:dyDescent="0.2">
      <c r="A39">
        <v>38</v>
      </c>
      <c r="B39" t="s">
        <v>62</v>
      </c>
      <c r="C39" t="s">
        <v>43</v>
      </c>
      <c r="D39" t="s">
        <v>32</v>
      </c>
      <c r="E39">
        <v>3.6</v>
      </c>
      <c r="F39" t="b">
        <v>1</v>
      </c>
      <c r="G39" t="b">
        <v>0</v>
      </c>
      <c r="H39" t="s">
        <v>11</v>
      </c>
      <c r="I39">
        <v>75</v>
      </c>
      <c r="J39">
        <v>6.4</v>
      </c>
      <c r="K39">
        <v>10</v>
      </c>
      <c r="L39">
        <f t="shared" si="0"/>
        <v>75</v>
      </c>
      <c r="M39">
        <f t="shared" si="1"/>
        <v>19.999999999999996</v>
      </c>
      <c r="N39" s="4">
        <f t="shared" si="2"/>
        <v>30.76923076923077</v>
      </c>
      <c r="O39" s="4">
        <f t="shared" si="3"/>
        <v>38.653846153846153</v>
      </c>
      <c r="P39" t="str" cm="1">
        <f t="array" ref="P39">_xlfn.IFS(O39&gt;=85,"A",O39&gt;=70,"B",O39&gt;=55,"C",O39&gt;=40,"D",TRUE,"F")</f>
        <v>F</v>
      </c>
    </row>
    <row r="40" spans="1:16" x14ac:dyDescent="0.2">
      <c r="A40">
        <v>39</v>
      </c>
      <c r="B40" t="s">
        <v>63</v>
      </c>
      <c r="C40" t="s">
        <v>9</v>
      </c>
      <c r="D40" t="s">
        <v>37</v>
      </c>
      <c r="E40">
        <v>4.0999999999999996</v>
      </c>
      <c r="F40" t="b">
        <v>1</v>
      </c>
      <c r="G40" t="b">
        <v>1</v>
      </c>
      <c r="H40" t="s">
        <v>11</v>
      </c>
      <c r="I40">
        <v>97</v>
      </c>
      <c r="J40">
        <v>4.7</v>
      </c>
      <c r="K40">
        <v>13</v>
      </c>
      <c r="L40">
        <f t="shared" si="0"/>
        <v>97</v>
      </c>
      <c r="M40" s="4">
        <f t="shared" si="1"/>
        <v>41.25</v>
      </c>
      <c r="N40" s="4">
        <f t="shared" si="2"/>
        <v>7.6923076923076872</v>
      </c>
      <c r="O40" s="4">
        <f t="shared" si="3"/>
        <v>51.263461538461534</v>
      </c>
      <c r="P40" t="str" cm="1">
        <f t="array" ref="P40">_xlfn.IFS(O40&gt;=85,"A",O40&gt;=70,"B",O40&gt;=55,"C",O40&gt;=40,"D",TRUE,"F")</f>
        <v>D</v>
      </c>
    </row>
    <row r="41" spans="1:16" x14ac:dyDescent="0.2">
      <c r="A41">
        <v>40</v>
      </c>
      <c r="B41" t="s">
        <v>64</v>
      </c>
      <c r="C41" t="s">
        <v>43</v>
      </c>
      <c r="D41" t="s">
        <v>10</v>
      </c>
      <c r="E41">
        <v>5.8</v>
      </c>
      <c r="F41" t="b">
        <v>1</v>
      </c>
      <c r="G41" t="b">
        <v>1</v>
      </c>
      <c r="H41" t="s">
        <v>18</v>
      </c>
      <c r="I41">
        <v>76</v>
      </c>
      <c r="J41">
        <v>1.3</v>
      </c>
      <c r="K41">
        <v>10</v>
      </c>
      <c r="L41">
        <f t="shared" si="0"/>
        <v>76</v>
      </c>
      <c r="M41" s="4">
        <f t="shared" si="1"/>
        <v>83.75</v>
      </c>
      <c r="N41" s="4">
        <f t="shared" si="2"/>
        <v>30.76923076923077</v>
      </c>
      <c r="O41" s="4">
        <f t="shared" si="3"/>
        <v>70.828846153846158</v>
      </c>
      <c r="P41" t="str" cm="1">
        <f t="array" ref="P41">_xlfn.IFS(O41&gt;=85,"A",O41&gt;=70,"B",O41&gt;=55,"C",O41&gt;=40,"D",TRUE,"F")</f>
        <v>B</v>
      </c>
    </row>
  </sheetData>
  <conditionalFormatting sqref="P2:P41">
    <cfRule type="cellIs" dxfId="15" priority="3" operator="equal">
      <formula>"F"</formula>
    </cfRule>
    <cfRule type="cellIs" dxfId="16" priority="2" operator="equal">
      <formula>"D"</formula>
    </cfRule>
    <cfRule type="cellIs" dxfId="14" priority="1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87ED-DF1A-6949-825F-EBB440F29056}">
  <dimension ref="A1:B12"/>
  <sheetViews>
    <sheetView workbookViewId="0">
      <selection activeCell="I7" sqref="I7"/>
    </sheetView>
  </sheetViews>
  <sheetFormatPr baseColWidth="10" defaultRowHeight="16" x14ac:dyDescent="0.2"/>
  <cols>
    <col min="1" max="1" width="17" bestFit="1" customWidth="1"/>
    <col min="2" max="2" width="18.6640625" bestFit="1" customWidth="1"/>
  </cols>
  <sheetData>
    <row r="1" spans="1:2" x14ac:dyDescent="0.2">
      <c r="A1" s="5" t="s">
        <v>73</v>
      </c>
    </row>
    <row r="2" spans="1:2" x14ac:dyDescent="0.2">
      <c r="B2" s="8">
        <v>8</v>
      </c>
    </row>
    <row r="4" spans="1:2" x14ac:dyDescent="0.2">
      <c r="A4" t="s">
        <v>74</v>
      </c>
      <c r="B4" t="str">
        <f>_xlfn.XLOOKUP($B$2,suppliers_scored!$A$2:$A$41,suppliers_scored!B2:B41,"Not found")</f>
        <v>Titan Manufacturing 8</v>
      </c>
    </row>
    <row r="5" spans="1:2" x14ac:dyDescent="0.2">
      <c r="A5" t="s">
        <v>75</v>
      </c>
      <c r="B5" t="str">
        <f>_xlfn.XLOOKUP($B$2,suppliers_scored!$A$2:$A$41,suppliers_scored!C2:C41,"Not found")</f>
        <v>USA</v>
      </c>
    </row>
    <row r="6" spans="1:2" x14ac:dyDescent="0.2">
      <c r="A6" t="s">
        <v>76</v>
      </c>
      <c r="B6" t="str">
        <f>_xlfn.XLOOKUP($B$2,suppliers_scored!$A$2:$A$41,suppliers_scored!D2:D41,"Not found")</f>
        <v>Software</v>
      </c>
    </row>
    <row r="7" spans="1:2" x14ac:dyDescent="0.2">
      <c r="A7" t="s">
        <v>77</v>
      </c>
      <c r="B7" t="str">
        <f>_xlfn.XLOOKUP($B$2,suppliers_scored!$A$2:$A$41,suppliers_scored!H2:H41,"Not found")</f>
        <v>MEDIUM RISK</v>
      </c>
    </row>
    <row r="8" spans="1:2" x14ac:dyDescent="0.2">
      <c r="A8" t="s">
        <v>78</v>
      </c>
      <c r="B8">
        <f>_xlfn.XLOOKUP($B$2,suppliers_scored!$A$2:$A$41,suppliers_scored!I2:I41,"Not found")</f>
        <v>90</v>
      </c>
    </row>
    <row r="9" spans="1:2" x14ac:dyDescent="0.2">
      <c r="A9" t="s">
        <v>79</v>
      </c>
      <c r="B9">
        <f>_xlfn.XLOOKUP($B$2,suppliers_scored!$A$2:$A$41,suppliers_scored!J2:J41,"Not found")</f>
        <v>5.7</v>
      </c>
    </row>
    <row r="10" spans="1:2" x14ac:dyDescent="0.2">
      <c r="A10" t="s">
        <v>80</v>
      </c>
      <c r="B10">
        <f>_xlfn.XLOOKUP($B$2,suppliers_scored!$A$2:$A$41,suppliers_scored!K2:K41,"Not found")</f>
        <v>11</v>
      </c>
    </row>
    <row r="11" spans="1:2" x14ac:dyDescent="0.2">
      <c r="A11" t="s">
        <v>81</v>
      </c>
      <c r="B11" s="4">
        <f>_xlfn.XLOOKUP($B$2,suppliers_scored!$A$2:$A$41,suppliers_scored!O2:O41,"Not found")</f>
        <v>45.990384615384613</v>
      </c>
    </row>
    <row r="12" spans="1:2" x14ac:dyDescent="0.2">
      <c r="A12" t="s">
        <v>82</v>
      </c>
      <c r="B12" t="str">
        <f>_xlfn.XLOOKUP($B$2,suppliers_scored!$A$2:$A$41,suppliers_scored!P2:P41,"Not found")</f>
        <v>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suppliers_scored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Bangura</dc:creator>
  <cp:lastModifiedBy>Emmanuel Bangura</cp:lastModifiedBy>
  <dcterms:created xsi:type="dcterms:W3CDTF">2026-09-08T16:52:30Z</dcterms:created>
  <dcterms:modified xsi:type="dcterms:W3CDTF">2026-09-09T16:15:59Z</dcterms:modified>
</cp:coreProperties>
</file>